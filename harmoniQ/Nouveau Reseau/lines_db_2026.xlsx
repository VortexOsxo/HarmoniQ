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sti\Downloads\2.Code projet (Bus,Lignes,PyPSA)\Nouveau Reseau\PyPSA\"/>
    </mc:Choice>
  </mc:AlternateContent>
  <xr:revisionPtr revIDLastSave="0" documentId="13_ncr:1_{639DB7CF-A118-476C-B457-35998FCFED8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lines_db_2026" sheetId="1" r:id="rId1"/>
  </sheets>
  <definedNames>
    <definedName name="_xlnm._FilterDatabase" localSheetId="0" hidden="1">lines_db_2026!$A$1:$I$314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14" i="1" l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</calcChain>
</file>

<file path=xl/sharedStrings.xml><?xml version="1.0" encoding="utf-8"?>
<sst xmlns="http://schemas.openxmlformats.org/spreadsheetml/2006/main" count="1574" uniqueCount="582">
  <si>
    <t>type</t>
  </si>
  <si>
    <t>name</t>
  </si>
  <si>
    <t>bus0</t>
  </si>
  <si>
    <t>bus1</t>
  </si>
  <si>
    <t>capital_cost</t>
  </si>
  <si>
    <t>length</t>
  </si>
  <si>
    <t>s_nom</t>
  </si>
  <si>
    <t>nb_ligne</t>
  </si>
  <si>
    <t>Bus</t>
  </si>
  <si>
    <t>Radisson - La Grande-3</t>
  </si>
  <si>
    <t>Bus1</t>
  </si>
  <si>
    <t>Bus2</t>
  </si>
  <si>
    <t>735kV_line</t>
  </si>
  <si>
    <t>La Grande-3 - Le Moyne</t>
  </si>
  <si>
    <t>Bus4</t>
  </si>
  <si>
    <t>Le Moyne - EDU de Francisco</t>
  </si>
  <si>
    <t>Bus3</t>
  </si>
  <si>
    <t>Radisson - Muskeg</t>
  </si>
  <si>
    <t>Bus6</t>
  </si>
  <si>
    <t>Muskeg - Nemiscau</t>
  </si>
  <si>
    <t>Bus7</t>
  </si>
  <si>
    <t>Nemiscau - Albanel</t>
  </si>
  <si>
    <t>Bus8</t>
  </si>
  <si>
    <t>La Grande-3 - Albanel</t>
  </si>
  <si>
    <t>Le Moyne - Albanel</t>
  </si>
  <si>
    <t>Nemiscau - Abitibi</t>
  </si>
  <si>
    <t>Bus15</t>
  </si>
  <si>
    <t>Albanel - Chibougamau</t>
  </si>
  <si>
    <t>Bus16</t>
  </si>
  <si>
    <t>Abitibi - Chibougamau</t>
  </si>
  <si>
    <t>Abitibi - La Verendrye</t>
  </si>
  <si>
    <t>Bus22</t>
  </si>
  <si>
    <t>Chibougamau - Chamouchouane</t>
  </si>
  <si>
    <t>Bus19</t>
  </si>
  <si>
    <t>La Verendrye - Chenier</t>
  </si>
  <si>
    <t>Bus29</t>
  </si>
  <si>
    <t>La Verendrye - Grand-Brule</t>
  </si>
  <si>
    <t>Bus27</t>
  </si>
  <si>
    <t>Grand-Brule - Chenier</t>
  </si>
  <si>
    <t>Chenier - Duvernay</t>
  </si>
  <si>
    <t>Bus30</t>
  </si>
  <si>
    <t>Duvernay - Judith-Jasmin</t>
  </si>
  <si>
    <t>Bus31</t>
  </si>
  <si>
    <t>La Verendrye - Judith-Jasmin</t>
  </si>
  <si>
    <t>Duvernay - Bout-de-l'ile</t>
  </si>
  <si>
    <t>Bus28</t>
  </si>
  <si>
    <t>Bout-de-l'ile - Boucherville</t>
  </si>
  <si>
    <t>Bus36</t>
  </si>
  <si>
    <t>Chenier - Chateauguay</t>
  </si>
  <si>
    <t>Bus39</t>
  </si>
  <si>
    <t>Chateauguay - Hertel</t>
  </si>
  <si>
    <t>Bus40</t>
  </si>
  <si>
    <t>Hertel - Monteregie</t>
  </si>
  <si>
    <t>Bus38</t>
  </si>
  <si>
    <t>Monteregie - Cantons</t>
  </si>
  <si>
    <t>Bus37</t>
  </si>
  <si>
    <t>Hertel - Boucherville</t>
  </si>
  <si>
    <t>Hertel - Nicolet</t>
  </si>
  <si>
    <t>Bus33</t>
  </si>
  <si>
    <t>Boucherville - Nicolet</t>
  </si>
  <si>
    <t>Boucherville - Carignan</t>
  </si>
  <si>
    <t>Bus32</t>
  </si>
  <si>
    <t>Judith-Jasmin - Chamouchouane</t>
  </si>
  <si>
    <t>Carignan - Jacques-Cartier</t>
  </si>
  <si>
    <t>Bus25</t>
  </si>
  <si>
    <t>Judith-Jasmin - Jacques-Cartier</t>
  </si>
  <si>
    <t>Jacques-Cartier - Chamouchouane</t>
  </si>
  <si>
    <t>Cantons - Nicolet</t>
  </si>
  <si>
    <t>Cantons - Appalaches</t>
  </si>
  <si>
    <t>Bus34</t>
  </si>
  <si>
    <t>Nicolet - Levis</t>
  </si>
  <si>
    <t>Bus35</t>
  </si>
  <si>
    <t>Appalaches - Levis</t>
  </si>
  <si>
    <t>Jacques-Cartier - Laurentides</t>
  </si>
  <si>
    <t>Bus26</t>
  </si>
  <si>
    <t>Levis - Laurentides</t>
  </si>
  <si>
    <t>Chamouchouane - Saguenay</t>
  </si>
  <si>
    <t>Bus23</t>
  </si>
  <si>
    <t>Jacques-Cartier - Saguenay</t>
  </si>
  <si>
    <t>Saguenay - Outarde</t>
  </si>
  <si>
    <t>Bus18</t>
  </si>
  <si>
    <t>Outarde - Micoua</t>
  </si>
  <si>
    <t>Bus17</t>
  </si>
  <si>
    <t>Outarde - Manicouagan</t>
  </si>
  <si>
    <t>Bus21</t>
  </si>
  <si>
    <t>Outarde - Arnaud</t>
  </si>
  <si>
    <t>Bus14</t>
  </si>
  <si>
    <t>Arnaud - Manicouagan</t>
  </si>
  <si>
    <t>Laurentides - Perigny</t>
  </si>
  <si>
    <t>Bus20</t>
  </si>
  <si>
    <t>Perigny - Outarde</t>
  </si>
  <si>
    <t>Levis - Bergeronnes</t>
  </si>
  <si>
    <t>Bus24</t>
  </si>
  <si>
    <t>Bergeronnes - Manicouagan</t>
  </si>
  <si>
    <t>Arnaud - Montagnais</t>
  </si>
  <si>
    <t>Bus9</t>
  </si>
  <si>
    <t>Montagnais - Churchill Falls</t>
  </si>
  <si>
    <t>Bus5</t>
  </si>
  <si>
    <t>Montagnais - Romaine-4</t>
  </si>
  <si>
    <t>Bus10</t>
  </si>
  <si>
    <t>Romaine-4 - Romaine-3</t>
  </si>
  <si>
    <t>Bus11</t>
  </si>
  <si>
    <t>Romaine-3 - Romaine-2</t>
  </si>
  <si>
    <t>Bus12</t>
  </si>
  <si>
    <t>Romaine-2 - Romaine-1</t>
  </si>
  <si>
    <t>Bus13</t>
  </si>
  <si>
    <t>Romaine-1 - Arnaud</t>
  </si>
  <si>
    <t>Eolienne</t>
  </si>
  <si>
    <t>Baie-des-Sables - Saint-Damase</t>
  </si>
  <si>
    <t>Eolienne41</t>
  </si>
  <si>
    <t>Eolienne76</t>
  </si>
  <si>
    <t>Baie-des-Sables - Jardin d'Eole (Saint-Ulric Saint-Leandre)</t>
  </si>
  <si>
    <t>Eolienne50</t>
  </si>
  <si>
    <t>Carleton - New Richmond</t>
  </si>
  <si>
    <t>Eolienne42</t>
  </si>
  <si>
    <t>Eolienne70</t>
  </si>
  <si>
    <t>Carleton - Mesgi'g Ugju's'n</t>
  </si>
  <si>
    <t>Eolienne62</t>
  </si>
  <si>
    <t>Cote-de-Beaupre - Seigneurie de Beaupre</t>
  </si>
  <si>
    <t>Eolienne43</t>
  </si>
  <si>
    <t>Eolienne79</t>
  </si>
  <si>
    <t>Des Moulins I - Mont Sainte-Marguerite</t>
  </si>
  <si>
    <t>Eolienne46</t>
  </si>
  <si>
    <t>Eolienne66</t>
  </si>
  <si>
    <t>Des Moulins I - Le Granit</t>
  </si>
  <si>
    <t>Eolienne55</t>
  </si>
  <si>
    <t>Des Moulins II - Le Plateau II</t>
  </si>
  <si>
    <t>Eolienne47</t>
  </si>
  <si>
    <t>Eolienne59</t>
  </si>
  <si>
    <t>Frampton - Massif du Sud</t>
  </si>
  <si>
    <t>Eolienne48</t>
  </si>
  <si>
    <t>Eolienne61</t>
  </si>
  <si>
    <t>Frampton - Mont Sainte-Marguerite</t>
  </si>
  <si>
    <t>Gros-Morne - Mont Louis</t>
  </si>
  <si>
    <t>Eolienne49</t>
  </si>
  <si>
    <t>Eolienne64</t>
  </si>
  <si>
    <t>Gros-Morne - Mont Miller</t>
  </si>
  <si>
    <t>Eolienne65</t>
  </si>
  <si>
    <t>Gros-Morne - Montagne-Seche</t>
  </si>
  <si>
    <t>Eolienne67</t>
  </si>
  <si>
    <t>Jardin d'Eole (Saint-Ulric Saint-Leandre) - Le Nordais (Matane)</t>
  </si>
  <si>
    <t>Eolienne57</t>
  </si>
  <si>
    <t>Eolienne80</t>
  </si>
  <si>
    <t>La Mitis - Lac Alfred</t>
  </si>
  <si>
    <t>Eolienne52</t>
  </si>
  <si>
    <t>Eolienne53</t>
  </si>
  <si>
    <t>La Mitis - Nicolas-Riou</t>
  </si>
  <si>
    <t>Eolienne71</t>
  </si>
  <si>
    <t>Lac Alfred - Saint-Damase</t>
  </si>
  <si>
    <t>Lac Alfred - Roncevaux</t>
  </si>
  <si>
    <t>Eolienne75</t>
  </si>
  <si>
    <t>L'Anse-a-Valleau - SNEEC</t>
  </si>
  <si>
    <t>Eolienne54</t>
  </si>
  <si>
    <t>L'Anse-a-Valleau - Montagne-Seche</t>
  </si>
  <si>
    <t>Le Granit - Saint-Robert-Bellarmin</t>
  </si>
  <si>
    <t>Eolienne78</t>
  </si>
  <si>
    <t>Le Nordais (Cap-Chat) - Le Nordais (Matane)</t>
  </si>
  <si>
    <t>Eolienne56</t>
  </si>
  <si>
    <t>Le Nordais (Cap-Chat) - Mont Louis</t>
  </si>
  <si>
    <t>Le Plateau I - Le Plateau II</t>
  </si>
  <si>
    <t>Eolienne58</t>
  </si>
  <si>
    <t>Le Plateau I - Roncevaux</t>
  </si>
  <si>
    <t>Massif du Sud - Saint-Philemon</t>
  </si>
  <si>
    <t>Eolienne77</t>
  </si>
  <si>
    <t>Mesgi'g Ugju's'n - Vents du Kempt</t>
  </si>
  <si>
    <t>Eolienne82</t>
  </si>
  <si>
    <t>Mont Copper - Mont Miller</t>
  </si>
  <si>
    <t>Eolienne63</t>
  </si>
  <si>
    <t>Mont Miller - Mont-Rothery</t>
  </si>
  <si>
    <t>Eolienne69</t>
  </si>
  <si>
    <t>Nicolas-Riou - Viger-Denonville</t>
  </si>
  <si>
    <t>Eolienne83</t>
  </si>
  <si>
    <t>Roncevaux - Vents du Kempt</t>
  </si>
  <si>
    <t>Temiscouata - Viger-Denonville</t>
  </si>
  <si>
    <t>Eolienne81</t>
  </si>
  <si>
    <t>Temiscouata - Saint-Philemon</t>
  </si>
  <si>
    <t>Le Projet Eoliennes Belle-Riviere (Val-eo) - Saguenay</t>
  </si>
  <si>
    <t>Eolienne60</t>
  </si>
  <si>
    <t>Riviere-du-Moulin - Saguenay</t>
  </si>
  <si>
    <t>Eolienne74</t>
  </si>
  <si>
    <t>Riviere-du-Moulin - Perigny</t>
  </si>
  <si>
    <t>Des Moulins I - Appalaches</t>
  </si>
  <si>
    <t>De l'Erable - Appalaches</t>
  </si>
  <si>
    <t>Eolienne44</t>
  </si>
  <si>
    <t>De l'Erable - Cantons</t>
  </si>
  <si>
    <t>Pierre-De Saurel - Nicolet</t>
  </si>
  <si>
    <t>Eolienne72</t>
  </si>
  <si>
    <t>Pierre-De Saurel - Carignan</t>
  </si>
  <si>
    <t>Monteregiee - Hertel</t>
  </si>
  <si>
    <t>Eolienne68</t>
  </si>
  <si>
    <t>Chateauguay - Monteregiee</t>
  </si>
  <si>
    <t>Des Cultures (Parc Eolien) - Monteregiee</t>
  </si>
  <si>
    <t>Eolienne45</t>
  </si>
  <si>
    <t>Cote-de-Beaupre - Laurentides</t>
  </si>
  <si>
    <t>Seigneurie de Beaupre - Perigny</t>
  </si>
  <si>
    <t>Solaire</t>
  </si>
  <si>
    <t>Varennes - Boucherville</t>
  </si>
  <si>
    <t>Solaire1</t>
  </si>
  <si>
    <t>Hertel - La Prairie</t>
  </si>
  <si>
    <t>Solaire2</t>
  </si>
  <si>
    <t>Varennes - Bout-de-l'ile</t>
  </si>
  <si>
    <t>Thermique</t>
  </si>
  <si>
    <t>Hertel - Autres</t>
  </si>
  <si>
    <t>Thermique2</t>
  </si>
  <si>
    <t>Becancour - Jacques-Cartier</t>
  </si>
  <si>
    <t>Thermique1</t>
  </si>
  <si>
    <t>Becancour - Nicolet</t>
  </si>
  <si>
    <t>Hydro</t>
  </si>
  <si>
    <t>Hydro5</t>
  </si>
  <si>
    <t>Bernard-Landry - Eastmain-1</t>
  </si>
  <si>
    <t>Hydro18</t>
  </si>
  <si>
    <t>Hydro23</t>
  </si>
  <si>
    <t>McCormick - Manic-1</t>
  </si>
  <si>
    <t>Hydro33</t>
  </si>
  <si>
    <t>Hydro39</t>
  </si>
  <si>
    <t>Shawinigan-2 - Shawinigan-3</t>
  </si>
  <si>
    <t>Hydro37</t>
  </si>
  <si>
    <t>Hydro38</t>
  </si>
  <si>
    <t>Manic-5 - Manic-5-PA</t>
  </si>
  <si>
    <t>Hydro7</t>
  </si>
  <si>
    <t>Hydro12</t>
  </si>
  <si>
    <t>Churchill-Falls - Churchill Falls</t>
  </si>
  <si>
    <t>Hydro62</t>
  </si>
  <si>
    <t>Robert-Bourassa - La grande-2-A</t>
  </si>
  <si>
    <t>Hydro1</t>
  </si>
  <si>
    <t>Hydro4</t>
  </si>
  <si>
    <t>La Grande-4 - EDU de Francisco</t>
  </si>
  <si>
    <t>Hydro2</t>
  </si>
  <si>
    <t>La Grande-3 (N002 @ 53.727721,-75.988438) - La Grande-3 (N064 @ 53.734969,-76.009910)</t>
  </si>
  <si>
    <t>Hydro3</t>
  </si>
  <si>
    <t>Chelsea - Rapides-Farmer</t>
  </si>
  <si>
    <t>Hydro41</t>
  </si>
  <si>
    <t>Hydro47</t>
  </si>
  <si>
    <t>Chute-Hemmings - Drummondville</t>
  </si>
  <si>
    <t>Hydro57</t>
  </si>
  <si>
    <t>Hydro60</t>
  </si>
  <si>
    <t>Romaine-2 (N019 @ 50.623732,-63.190935) - Romaine-2 (N074 @ 50.658167,-63.208378)</t>
  </si>
  <si>
    <t>Hydro20</t>
  </si>
  <si>
    <t>Jean-Lesage - Manicouagan</t>
  </si>
  <si>
    <t>Hydro10</t>
  </si>
  <si>
    <t>Rapides-des-Iles - Rapides-des-Quinze</t>
  </si>
  <si>
    <t>Hydro40</t>
  </si>
  <si>
    <t>Hydro46</t>
  </si>
  <si>
    <t>Beauharnois_Francis - Chateauguay</t>
  </si>
  <si>
    <t>Outardes-2 - Manic-1</t>
  </si>
  <si>
    <t>Hydro22</t>
  </si>
  <si>
    <t>Romaine-1 (N030 @ 50.386552,-63.260058) - Romaine-1 (N075 @ 50.448760,-63.268803)</t>
  </si>
  <si>
    <t>Hydro31</t>
  </si>
  <si>
    <t>Rene-Levesque - Outarde</t>
  </si>
  <si>
    <t>Hydro9</t>
  </si>
  <si>
    <t>Rapides-des-Iles - Premiere-Chute</t>
  </si>
  <si>
    <t>Hydro44</t>
  </si>
  <si>
    <t>Riviere-des-Prairies - Duvernay</t>
  </si>
  <si>
    <t>Hydro55</t>
  </si>
  <si>
    <t>Trenche - Rapide-Blanc</t>
  </si>
  <si>
    <t>Hydro28</t>
  </si>
  <si>
    <t>Hydro36</t>
  </si>
  <si>
    <t>Shawinigan-3 - La Gabelle</t>
  </si>
  <si>
    <t>Hydro43</t>
  </si>
  <si>
    <t>Rocher-de-Grand-Mere - Shawinigan-2</t>
  </si>
  <si>
    <t>Hydro34</t>
  </si>
  <si>
    <t>Beauharnois_Francis - Les Cedres</t>
  </si>
  <si>
    <t>Hydro45</t>
  </si>
  <si>
    <t>McCormick - Manicouagan</t>
  </si>
  <si>
    <t>La tuque - Beaumont</t>
  </si>
  <si>
    <t>Hydro29</t>
  </si>
  <si>
    <t>Hydro30</t>
  </si>
  <si>
    <t>La grande-2-A - Radisson</t>
  </si>
  <si>
    <t>Outardes-4 - Micoua</t>
  </si>
  <si>
    <t>Hydro17</t>
  </si>
  <si>
    <t>Outardes-3 - Outarde</t>
  </si>
  <si>
    <t>Hydro13</t>
  </si>
  <si>
    <t>Romaine-2 (N019 @ 50.623732,-63.190935) - Romaine-1 (N075 @ 50.448760,-63.268803)</t>
  </si>
  <si>
    <t>Trenche - Beaumont</t>
  </si>
  <si>
    <t>Carillon - Chenier</t>
  </si>
  <si>
    <t>Hydro19</t>
  </si>
  <si>
    <t>Bersimis-1 - Bersimis-2</t>
  </si>
  <si>
    <t>Hydro11</t>
  </si>
  <si>
    <t>Hydro16</t>
  </si>
  <si>
    <t>Rapide-2 - Rapide-7</t>
  </si>
  <si>
    <t>Hydro52</t>
  </si>
  <si>
    <t>Hydro53</t>
  </si>
  <si>
    <t>Drummondville - Nicolet</t>
  </si>
  <si>
    <t>Rapide-des-Coeurs - Chute-Allard</t>
  </si>
  <si>
    <t>Hydro49</t>
  </si>
  <si>
    <t>Hydro50</t>
  </si>
  <si>
    <t>Chenier - Judith-Jasmin</t>
  </si>
  <si>
    <t>Rapide-Blanc - Rapide-des-Coeurs</t>
  </si>
  <si>
    <t>Les Cedres - Chenier</t>
  </si>
  <si>
    <t>Carillon - Chute-Bell</t>
  </si>
  <si>
    <t>Hydro61</t>
  </si>
  <si>
    <t>Chute-Bell - Grand-Brule</t>
  </si>
  <si>
    <t>Paugan - Chelsea</t>
  </si>
  <si>
    <t>Hydro35</t>
  </si>
  <si>
    <t>Chelsea - Chute-des-Chats</t>
  </si>
  <si>
    <t>Hydro48</t>
  </si>
  <si>
    <t>Eastmain-1 - Muskeg</t>
  </si>
  <si>
    <t>Chute-des-Chats - Bryson</t>
  </si>
  <si>
    <t>Hydro51</t>
  </si>
  <si>
    <t>Jean-Lesage - Outardes-3</t>
  </si>
  <si>
    <t>Rene-Levesque - Toulnustouc</t>
  </si>
  <si>
    <t>Hydro21</t>
  </si>
  <si>
    <t>Chute-Hemmings - Monteregie</t>
  </si>
  <si>
    <t>Sept-Chutes - Laurentides</t>
  </si>
  <si>
    <t>Hydro59</t>
  </si>
  <si>
    <t>Brisay - Laforge-2</t>
  </si>
  <si>
    <t>Hydro24</t>
  </si>
  <si>
    <t>Hydro27</t>
  </si>
  <si>
    <t>Chute-Hemmings - Cantons</t>
  </si>
  <si>
    <t>Sarcelle - Muskeg</t>
  </si>
  <si>
    <t>Hydro42</t>
  </si>
  <si>
    <t>Boucherville - Monteregie</t>
  </si>
  <si>
    <t>Eastmain-1 - Nemiscau</t>
  </si>
  <si>
    <t>Sainte-Marguerite-3 - Arnaud</t>
  </si>
  <si>
    <t>Hydro14</t>
  </si>
  <si>
    <t>La grande-1 - Radisson</t>
  </si>
  <si>
    <t>Hydro8</t>
  </si>
  <si>
    <t>La Gabelle - Nicolet</t>
  </si>
  <si>
    <t>Outardes-3 - Bersimis-2</t>
  </si>
  <si>
    <t>La Grande-4 - Laforge-1</t>
  </si>
  <si>
    <t>Hydro15</t>
  </si>
  <si>
    <t>Perigny - Bergeronnes</t>
  </si>
  <si>
    <t>Rapides-des-Quinze - Rapide-2</t>
  </si>
  <si>
    <t>Nicolet - Appalaches</t>
  </si>
  <si>
    <t>Perigny - Saguenay</t>
  </si>
  <si>
    <t>Manic-5 - Toulnustouc</t>
  </si>
  <si>
    <t>Rapides-Farmer - Chute-Bell</t>
  </si>
  <si>
    <t>La tuque - Rocher-de-Grand-Mere</t>
  </si>
  <si>
    <t>Bersimis-2 - Bergeronnes</t>
  </si>
  <si>
    <t>Rapide-Blanc - Chamouchouane</t>
  </si>
  <si>
    <t>Laforge-1 - Laforge-2</t>
  </si>
  <si>
    <t>Robert-Bourassa - La Grande-3 (N064 @ 53.734969,-76.009910)</t>
  </si>
  <si>
    <t>Chute-Allard - La Verendrye</t>
  </si>
  <si>
    <t>Paugan - Mercier</t>
  </si>
  <si>
    <t>Hydro54</t>
  </si>
  <si>
    <t>Toulnustouc - Arnaud</t>
  </si>
  <si>
    <t>Bersimis-1 - Peribonka</t>
  </si>
  <si>
    <t>Hydro26</t>
  </si>
  <si>
    <t>La Grande-3 (N002 @ 53.727721,-75.988438) - Sarcelle</t>
  </si>
  <si>
    <t>Manic-5 - Hart-Jaune</t>
  </si>
  <si>
    <t>Hydro56</t>
  </si>
  <si>
    <t>Romaine-4 (N031 @ 50.215556,-60.686667) - Lac-Robertson</t>
  </si>
  <si>
    <t>Hydro32</t>
  </si>
  <si>
    <t>Hydro58</t>
  </si>
  <si>
    <t>Hart-Jaune - Montagnais</t>
  </si>
  <si>
    <t>Romaine-2 (N019 @ 50.623732,-63.190935) - Romaine-4 (N031 @ 50.215556,-60.686667)</t>
  </si>
  <si>
    <t>Churchill-Falls - Gull-Island</t>
  </si>
  <si>
    <t>Hydro63</t>
  </si>
  <si>
    <t>Albanel - Abitibi</t>
  </si>
  <si>
    <t>Romaine-3 - Romaine-4</t>
  </si>
  <si>
    <t>Hydro25</t>
  </si>
  <si>
    <t>Rapide-7 - Mercier</t>
  </si>
  <si>
    <t>Conso</t>
  </si>
  <si>
    <t>Laforge-2 - Notre-Dame-du-Nord</t>
  </si>
  <si>
    <t>Conso68</t>
  </si>
  <si>
    <t>Conso24</t>
  </si>
  <si>
    <t>Gatineau - Frontenac-1</t>
  </si>
  <si>
    <t>Conso2</t>
  </si>
  <si>
    <t>Conso62</t>
  </si>
  <si>
    <t>Pandora - Mont-Royal</t>
  </si>
  <si>
    <t>Conso26</t>
  </si>
  <si>
    <t>Conso19</t>
  </si>
  <si>
    <t>Pandora - Dubuc</t>
  </si>
  <si>
    <t>Conso53</t>
  </si>
  <si>
    <t>Laurentides - Saint-Joseph</t>
  </si>
  <si>
    <t>Conso41</t>
  </si>
  <si>
    <t>Groulx - Pandora</t>
  </si>
  <si>
    <t>Conso39</t>
  </si>
  <si>
    <t>Dubuc - De Lorimier</t>
  </si>
  <si>
    <t>Conso18</t>
  </si>
  <si>
    <t>Nicolet - Anne-Hebert</t>
  </si>
  <si>
    <t>Conso63</t>
  </si>
  <si>
    <t>Rouville - F.F. Soucy S.E.C.</t>
  </si>
  <si>
    <t>Conso58</t>
  </si>
  <si>
    <t>Conso44</t>
  </si>
  <si>
    <t>Cournoyer - Usine Beauharnois Alcan</t>
  </si>
  <si>
    <t>Conso34</t>
  </si>
  <si>
    <t>Conso43</t>
  </si>
  <si>
    <t>Saint-Joseph - Dorchester</t>
  </si>
  <si>
    <t>Conso20</t>
  </si>
  <si>
    <t>Anjou - Bout-de-l'ile</t>
  </si>
  <si>
    <t>Conso65</t>
  </si>
  <si>
    <t>Lanaudiere - Acton</t>
  </si>
  <si>
    <t>Conso38</t>
  </si>
  <si>
    <t>Conso30</t>
  </si>
  <si>
    <t>De Lorimier - Anjou</t>
  </si>
  <si>
    <t>Duvernay - Sainte-Rose</t>
  </si>
  <si>
    <t>Conso8</t>
  </si>
  <si>
    <t>Carignan - Sorel-Sud</t>
  </si>
  <si>
    <t>Conso11</t>
  </si>
  <si>
    <t>Boucherville - Saint-Bruno-de-Montarville</t>
  </si>
  <si>
    <t>Conso64</t>
  </si>
  <si>
    <t>Levis - Normand</t>
  </si>
  <si>
    <t>Conso55</t>
  </si>
  <si>
    <t>Judith-Jasmin - Sainte-Anne-des-Plaines</t>
  </si>
  <si>
    <t>Conso40</t>
  </si>
  <si>
    <t>Saint-Lazare - Dorion</t>
  </si>
  <si>
    <t>Conso42</t>
  </si>
  <si>
    <t>Conso4</t>
  </si>
  <si>
    <t>Sherbrooke - Central-2</t>
  </si>
  <si>
    <t>Conso13</t>
  </si>
  <si>
    <t>Conso15</t>
  </si>
  <si>
    <t>Carignan - Outardes-3</t>
  </si>
  <si>
    <t>Conso66</t>
  </si>
  <si>
    <t>Monteregie - Lanaudiere</t>
  </si>
  <si>
    <t>Templeton - Gatineau</t>
  </si>
  <si>
    <t>Conso1</t>
  </si>
  <si>
    <t>Dorchester - Levis</t>
  </si>
  <si>
    <t>Quebec Lithium - Chenier</t>
  </si>
  <si>
    <t>Conso23</t>
  </si>
  <si>
    <t>Grand-Brule - Ouimet</t>
  </si>
  <si>
    <t>Conso31</t>
  </si>
  <si>
    <t>Granby - Monteregie</t>
  </si>
  <si>
    <t>Conso14</t>
  </si>
  <si>
    <t>Chateauguay - Hydrogenal Inc</t>
  </si>
  <si>
    <t>Conso35</t>
  </si>
  <si>
    <t>Anjou - Boucherville</t>
  </si>
  <si>
    <t>Dorion - Landry</t>
  </si>
  <si>
    <t>Conso7</t>
  </si>
  <si>
    <t>Groulx - Hertel</t>
  </si>
  <si>
    <t>Anne-Hebert - Daveluyville</t>
  </si>
  <si>
    <t>Conso36</t>
  </si>
  <si>
    <t>Companie-Miniere-Quebec-Cartier - Saint-Louis</t>
  </si>
  <si>
    <t>Conso51</t>
  </si>
  <si>
    <t>Conso21</t>
  </si>
  <si>
    <t>Landry - Saint-Polycarpe</t>
  </si>
  <si>
    <t>Conso6</t>
  </si>
  <si>
    <t>Daveluyville - Doc-Grignon</t>
  </si>
  <si>
    <t>Conso5</t>
  </si>
  <si>
    <t>Landry - Chateauguay</t>
  </si>
  <si>
    <t>Cantons - Sherbrooke</t>
  </si>
  <si>
    <t>Saint-Louis - Carignan</t>
  </si>
  <si>
    <t>Quebec Lithium - Saint-Lazare</t>
  </si>
  <si>
    <t>Hydrogenal Inc - Groulx</t>
  </si>
  <si>
    <t>Landry - Huntingdon</t>
  </si>
  <si>
    <t>Conso17</t>
  </si>
  <si>
    <t>Asbestos - Cantons</t>
  </si>
  <si>
    <t>Conso10</t>
  </si>
  <si>
    <t>Chute-du-diable - Saint-Donat</t>
  </si>
  <si>
    <t>Conso74</t>
  </si>
  <si>
    <t>Conso32</t>
  </si>
  <si>
    <t>Hertel - Saint-Blaise</t>
  </si>
  <si>
    <t>Conso27</t>
  </si>
  <si>
    <t>Rouville - Granby</t>
  </si>
  <si>
    <t>Ouimet - Chute-du-diable</t>
  </si>
  <si>
    <t>Chute-Hemmings - Companie-Miniere-Quebec-Cartier</t>
  </si>
  <si>
    <t>Conso9</t>
  </si>
  <si>
    <t>Saint-Bruno-de-Montarville - Rouville</t>
  </si>
  <si>
    <t>Chute-Hemmings - Nicolet</t>
  </si>
  <si>
    <t>Acton - Chute-Hemmings</t>
  </si>
  <si>
    <t>Poirier - Grand-Brule</t>
  </si>
  <si>
    <t>Conso28</t>
  </si>
  <si>
    <t>Grondines - Jacques-Cartier</t>
  </si>
  <si>
    <t>Conso70</t>
  </si>
  <si>
    <t>Papiers-Scott Inc - Quebec Lithium</t>
  </si>
  <si>
    <t>Conso37</t>
  </si>
  <si>
    <t>Sainte-Anne-des-Plaines - Poirier</t>
  </si>
  <si>
    <t>Du Portage - Kamouraska</t>
  </si>
  <si>
    <t>Conso54</t>
  </si>
  <si>
    <t>Conso67</t>
  </si>
  <si>
    <t>Doc-Grignon - Asbestos</t>
  </si>
  <si>
    <t>Jacques-Cartier - LAnnonciation</t>
  </si>
  <si>
    <t>Conso33</t>
  </si>
  <si>
    <t>Sainte-Germaine - Rouyn</t>
  </si>
  <si>
    <t>Conso46</t>
  </si>
  <si>
    <t>Conso25</t>
  </si>
  <si>
    <t>Doc-Grignon - Appalaches</t>
  </si>
  <si>
    <t>Daveluyville - Grondines</t>
  </si>
  <si>
    <t>Templeton - Perce</t>
  </si>
  <si>
    <t>Conso50</t>
  </si>
  <si>
    <t>Appalaches - Beauceville-Est</t>
  </si>
  <si>
    <t>Conso45</t>
  </si>
  <si>
    <t>Trois-Pistoles - Du Portage</t>
  </si>
  <si>
    <t>Conso56</t>
  </si>
  <si>
    <t>Aluminerie-de-Becancour - Albanel</t>
  </si>
  <si>
    <t>Conso60</t>
  </si>
  <si>
    <t>La Grande-1 - Radisson</t>
  </si>
  <si>
    <t>Conso48</t>
  </si>
  <si>
    <t>Mine Gonzague-Langlois - La Verendrye</t>
  </si>
  <si>
    <t>Conso47</t>
  </si>
  <si>
    <t>Perce - Papiers-Scott Inc</t>
  </si>
  <si>
    <t>Trois-Pistoles - Jules-A.-Brillant</t>
  </si>
  <si>
    <t>Conso61</t>
  </si>
  <si>
    <t>Plouffe - Mine Gonzague-Langlois</t>
  </si>
  <si>
    <t>Conso22</t>
  </si>
  <si>
    <t>Mine Gonzague-Langlois - Repentigny</t>
  </si>
  <si>
    <t>Conso49</t>
  </si>
  <si>
    <t>Perce - Plouffe</t>
  </si>
  <si>
    <t>Grondines - Cournoyer</t>
  </si>
  <si>
    <t>LAnnonciation - Sidbec-Dosco</t>
  </si>
  <si>
    <t>Conso57</t>
  </si>
  <si>
    <t>Maissonneuve - Aluminerie-de-Becancour</t>
  </si>
  <si>
    <t>Conso16</t>
  </si>
  <si>
    <t>Levis - Spruce Falls Inc</t>
  </si>
  <si>
    <t>Conso59</t>
  </si>
  <si>
    <t>Waconichi - Chibougamau</t>
  </si>
  <si>
    <t>Conso52</t>
  </si>
  <si>
    <t>Sidbec-Dosco - Saguenay</t>
  </si>
  <si>
    <t>Rouyn - Laforge-2</t>
  </si>
  <si>
    <t>Saguenay - Maissonneuve</t>
  </si>
  <si>
    <t>Abitibi - Aluminiere Grande-Baie Alcan</t>
  </si>
  <si>
    <t>Conso75</t>
  </si>
  <si>
    <t>Joutel - Sainte-Germaine</t>
  </si>
  <si>
    <t>Conso29</t>
  </si>
  <si>
    <t>Muskeg - Eastmain-1</t>
  </si>
  <si>
    <t>Conso69</t>
  </si>
  <si>
    <t>Argonal Inc - Bowater Gatineau</t>
  </si>
  <si>
    <t>Conso12</t>
  </si>
  <si>
    <t>Conso3</t>
  </si>
  <si>
    <t>Micoua - Outardes</t>
  </si>
  <si>
    <t>Conso71</t>
  </si>
  <si>
    <t>EDU de Francisco - Argonal Inc</t>
  </si>
  <si>
    <t>Aluminerie-de-Becancour - Waconichi</t>
  </si>
  <si>
    <t>Eastmain-1 - La Grande-1</t>
  </si>
  <si>
    <t>Waconichi - Albanel</t>
  </si>
  <si>
    <t>Abitibi - Joutel</t>
  </si>
  <si>
    <t>Albanel - Chamouchouane</t>
  </si>
  <si>
    <t>Conso72</t>
  </si>
  <si>
    <t>Albanel - Aluminerie-De-Becancour</t>
  </si>
  <si>
    <t>Kamouraska - Spruce Falls Inc</t>
  </si>
  <si>
    <t>Interco</t>
  </si>
  <si>
    <t>Interco2_EelRiver_backbone</t>
  </si>
  <si>
    <t>Interco2</t>
  </si>
  <si>
    <t>230kV_line</t>
  </si>
  <si>
    <t>Interco2_EelRiver_foreign</t>
  </si>
  <si>
    <t>Etranger2</t>
  </si>
  <si>
    <t>Interco3_Madawaska_backbone</t>
  </si>
  <si>
    <t>Interco3</t>
  </si>
  <si>
    <t>345kV_line</t>
  </si>
  <si>
    <t>Interco3_Madawaska_foreign</t>
  </si>
  <si>
    <t>Etranger3</t>
  </si>
  <si>
    <t>Interco4_Appalaches_backbone</t>
  </si>
  <si>
    <t>Interco4</t>
  </si>
  <si>
    <t>315kV_line</t>
  </si>
  <si>
    <t>Interco4_Appalaches_foreign</t>
  </si>
  <si>
    <t>Etranger4</t>
  </si>
  <si>
    <t>Interco5_Stanstead_backbone</t>
  </si>
  <si>
    <t>Interco5</t>
  </si>
  <si>
    <t>120kV_line</t>
  </si>
  <si>
    <t>Interco5_Stanstead_foreign</t>
  </si>
  <si>
    <t>Etranger5</t>
  </si>
  <si>
    <t>Interco6_Bedford_backbone</t>
  </si>
  <si>
    <t>Interco6</t>
  </si>
  <si>
    <t>Interco6_Bedford_foreign</t>
  </si>
  <si>
    <t>Etranger6</t>
  </si>
  <si>
    <t>Interco7_Nicolet_backbone</t>
  </si>
  <si>
    <t>Interco7</t>
  </si>
  <si>
    <t>450kV_line</t>
  </si>
  <si>
    <t>Interco7_Nicolet_foreign</t>
  </si>
  <si>
    <t>Etranger7</t>
  </si>
  <si>
    <t>Interco8_Hertel_backbone</t>
  </si>
  <si>
    <t>Interco8</t>
  </si>
  <si>
    <t>Interco8_Hertel_foreign</t>
  </si>
  <si>
    <t>Etranger8</t>
  </si>
  <si>
    <t>Interco9_Massena_backbone</t>
  </si>
  <si>
    <t>Interco9</t>
  </si>
  <si>
    <t>Interco9_Massena_foreign</t>
  </si>
  <si>
    <t>Etranger9</t>
  </si>
  <si>
    <t>Interco10_Ontario_backbone</t>
  </si>
  <si>
    <t>Interco10</t>
  </si>
  <si>
    <t>Interco10_Ontario_foreign</t>
  </si>
  <si>
    <t>Etranger10</t>
  </si>
  <si>
    <t>Interco11_Outaouais_backbone</t>
  </si>
  <si>
    <t>Interco11</t>
  </si>
  <si>
    <t>Interco11_Outaouais_foreign</t>
  </si>
  <si>
    <t>Etranger11</t>
  </si>
  <si>
    <t>Interco12_Paugan_backbone</t>
  </si>
  <si>
    <t>Interco12</t>
  </si>
  <si>
    <t>Interco12_Paugan_foreign</t>
  </si>
  <si>
    <t>Etranger12</t>
  </si>
  <si>
    <t>Interco13_Chenaux_backbone</t>
  </si>
  <si>
    <t>Interco13</t>
  </si>
  <si>
    <t>Interco13_Chenaux_foreign</t>
  </si>
  <si>
    <t>Etranger13</t>
  </si>
  <si>
    <t>Interco14_Kipawa_backbone</t>
  </si>
  <si>
    <t>Interco14</t>
  </si>
  <si>
    <t>Interco14_Kipawa_foreign</t>
  </si>
  <si>
    <t>Etranger14</t>
  </si>
  <si>
    <t>Interco15_Rapide_backbone</t>
  </si>
  <si>
    <t>Interco15</t>
  </si>
  <si>
    <t>Interco15_Rapide_foreign</t>
  </si>
  <si>
    <t>Etranger15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</si>
</sst>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4"/>
  <sheetViews>
    <sheetView tabSelected="1" topLeftCell="A68" zoomScaleNormal="100" workbookViewId="0">
      <selection activeCell="C75" sqref="C75"/>
    </sheetView>
  </sheetViews>
  <sheetFormatPr defaultColWidth="9.21875" defaultRowHeight="14.4" x14ac:dyDescent="0.3"/>
  <cols>
    <col min="1" max="1" width="9.33203125" customWidth="1"/>
    <col min="2" max="2" width="18.88671875" customWidth="1"/>
    <col min="3" max="4" width="37.77734375" customWidth="1"/>
    <col min="5" max="5" width="9.6640625" customWidth="1"/>
    <col min="6" max="7" width="11.88671875" customWidth="1"/>
  </cols>
  <sheetData>
    <row r="1" spans="1:9" ht="14.2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</row>
    <row r="2" spans="1:9" ht="14.25" customHeight="1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113521.472209913</v>
      </c>
      <c r="G2">
        <v>113.521472209913</v>
      </c>
      <c r="H2">
        <v>2000</v>
      </c>
      <c r="I2">
        <v>1</v>
      </c>
    </row>
    <row r="3" spans="1:9" ht="14.25" customHeight="1" x14ac:dyDescent="0.3">
      <c r="A3" t="s">
        <v>8</v>
      </c>
      <c r="B3" t="s">
        <v>13</v>
      </c>
      <c r="C3" t="s">
        <v>11</v>
      </c>
      <c r="D3" t="s">
        <v>14</v>
      </c>
      <c r="E3" t="s">
        <v>12</v>
      </c>
      <c r="F3">
        <v>70128.824893763798</v>
      </c>
      <c r="G3">
        <v>70.128824893763806</v>
      </c>
      <c r="H3">
        <v>2000</v>
      </c>
      <c r="I3">
        <v>1</v>
      </c>
    </row>
    <row r="4" spans="1:9" ht="14.25" customHeight="1" x14ac:dyDescent="0.3">
      <c r="A4" t="s">
        <v>8</v>
      </c>
      <c r="B4" t="s">
        <v>15</v>
      </c>
      <c r="C4" t="s">
        <v>14</v>
      </c>
      <c r="D4" t="s">
        <v>16</v>
      </c>
      <c r="E4" t="s">
        <v>12</v>
      </c>
      <c r="F4">
        <v>111882.61506008801</v>
      </c>
      <c r="G4">
        <v>111.882615060088</v>
      </c>
      <c r="H4">
        <v>6000</v>
      </c>
      <c r="I4">
        <v>3</v>
      </c>
    </row>
    <row r="5" spans="1:9" ht="14.25" customHeight="1" x14ac:dyDescent="0.3">
      <c r="A5" t="s">
        <v>8</v>
      </c>
      <c r="B5" t="s">
        <v>17</v>
      </c>
      <c r="C5" t="s">
        <v>10</v>
      </c>
      <c r="D5" t="s">
        <v>18</v>
      </c>
      <c r="E5" t="s">
        <v>12</v>
      </c>
      <c r="F5">
        <v>185755.030724343</v>
      </c>
      <c r="G5">
        <v>185.75503072434299</v>
      </c>
      <c r="H5">
        <v>6000</v>
      </c>
      <c r="I5">
        <v>3</v>
      </c>
    </row>
    <row r="6" spans="1:9" ht="14.25" customHeight="1" x14ac:dyDescent="0.3">
      <c r="A6" t="s">
        <v>8</v>
      </c>
      <c r="B6" t="s">
        <v>19</v>
      </c>
      <c r="C6" t="s">
        <v>18</v>
      </c>
      <c r="D6" t="s">
        <v>20</v>
      </c>
      <c r="E6" t="s">
        <v>12</v>
      </c>
      <c r="F6">
        <v>66144.469074963199</v>
      </c>
      <c r="G6">
        <v>66.144469074963197</v>
      </c>
      <c r="H6">
        <v>6000</v>
      </c>
      <c r="I6">
        <v>3</v>
      </c>
    </row>
    <row r="7" spans="1:9" ht="14.25" customHeight="1" x14ac:dyDescent="0.3">
      <c r="A7" t="s">
        <v>8</v>
      </c>
      <c r="B7" t="s">
        <v>21</v>
      </c>
      <c r="C7" t="s">
        <v>20</v>
      </c>
      <c r="D7" t="s">
        <v>22</v>
      </c>
      <c r="E7" t="s">
        <v>12</v>
      </c>
      <c r="F7">
        <v>31333.074443251899</v>
      </c>
      <c r="G7">
        <v>31.333074443251899</v>
      </c>
      <c r="H7">
        <v>2000</v>
      </c>
      <c r="I7">
        <v>1</v>
      </c>
    </row>
    <row r="8" spans="1:9" ht="14.25" customHeight="1" x14ac:dyDescent="0.3">
      <c r="A8" t="s">
        <v>8</v>
      </c>
      <c r="B8" t="s">
        <v>23</v>
      </c>
      <c r="C8" t="s">
        <v>11</v>
      </c>
      <c r="D8" t="s">
        <v>22</v>
      </c>
      <c r="E8" t="s">
        <v>12</v>
      </c>
      <c r="F8">
        <v>231222.92505191601</v>
      </c>
      <c r="G8">
        <v>231.22292505191601</v>
      </c>
      <c r="H8">
        <v>2000</v>
      </c>
      <c r="I8">
        <v>1</v>
      </c>
    </row>
    <row r="9" spans="1:9" ht="14.25" customHeight="1" x14ac:dyDescent="0.3">
      <c r="A9" t="s">
        <v>8</v>
      </c>
      <c r="B9" t="s">
        <v>24</v>
      </c>
      <c r="C9" t="s">
        <v>14</v>
      </c>
      <c r="D9" t="s">
        <v>22</v>
      </c>
      <c r="E9" t="s">
        <v>12</v>
      </c>
      <c r="F9">
        <v>205365.61598100301</v>
      </c>
      <c r="G9">
        <v>205.365615981003</v>
      </c>
      <c r="H9">
        <v>4000</v>
      </c>
      <c r="I9">
        <v>2</v>
      </c>
    </row>
    <row r="10" spans="1:9" ht="14.25" customHeight="1" x14ac:dyDescent="0.3">
      <c r="A10" t="s">
        <v>8</v>
      </c>
      <c r="B10" t="s">
        <v>25</v>
      </c>
      <c r="C10" t="s">
        <v>20</v>
      </c>
      <c r="D10" t="s">
        <v>26</v>
      </c>
      <c r="E10" t="s">
        <v>12</v>
      </c>
      <c r="F10">
        <v>213415.13609293601</v>
      </c>
      <c r="G10">
        <v>213.415136092936</v>
      </c>
      <c r="H10">
        <v>6000</v>
      </c>
      <c r="I10">
        <v>3</v>
      </c>
    </row>
    <row r="11" spans="1:9" ht="14.25" customHeight="1" x14ac:dyDescent="0.3">
      <c r="A11" t="s">
        <v>8</v>
      </c>
      <c r="B11" t="s">
        <v>27</v>
      </c>
      <c r="C11" t="s">
        <v>22</v>
      </c>
      <c r="D11" t="s">
        <v>28</v>
      </c>
      <c r="E11" t="s">
        <v>12</v>
      </c>
      <c r="F11">
        <v>219926.49982137501</v>
      </c>
      <c r="G11">
        <v>219.92649982137499</v>
      </c>
      <c r="H11">
        <v>6000</v>
      </c>
      <c r="I11">
        <v>3</v>
      </c>
    </row>
    <row r="12" spans="1:9" ht="14.25" customHeight="1" x14ac:dyDescent="0.3">
      <c r="A12" t="s">
        <v>8</v>
      </c>
      <c r="B12" t="s">
        <v>29</v>
      </c>
      <c r="C12" t="s">
        <v>26</v>
      </c>
      <c r="D12" t="s">
        <v>28</v>
      </c>
      <c r="E12" t="s">
        <v>12</v>
      </c>
      <c r="F12">
        <v>58598.8386828066</v>
      </c>
      <c r="G12">
        <v>58.598838682806601</v>
      </c>
      <c r="H12">
        <v>2000</v>
      </c>
      <c r="I12">
        <v>1</v>
      </c>
    </row>
    <row r="13" spans="1:9" ht="14.25" customHeight="1" x14ac:dyDescent="0.3">
      <c r="A13" t="s">
        <v>8</v>
      </c>
      <c r="B13" t="s">
        <v>30</v>
      </c>
      <c r="C13" t="s">
        <v>26</v>
      </c>
      <c r="D13" t="s">
        <v>31</v>
      </c>
      <c r="E13" t="s">
        <v>12</v>
      </c>
      <c r="F13">
        <v>262088.171843916</v>
      </c>
      <c r="G13">
        <v>262.08817184391597</v>
      </c>
      <c r="H13">
        <v>6000</v>
      </c>
      <c r="I13">
        <v>3</v>
      </c>
    </row>
    <row r="14" spans="1:9" ht="14.25" customHeight="1" x14ac:dyDescent="0.3">
      <c r="A14" t="s">
        <v>8</v>
      </c>
      <c r="B14" t="s">
        <v>32</v>
      </c>
      <c r="C14" t="s">
        <v>28</v>
      </c>
      <c r="D14" t="s">
        <v>33</v>
      </c>
      <c r="E14" t="s">
        <v>12</v>
      </c>
      <c r="F14">
        <v>188114.455432004</v>
      </c>
      <c r="G14">
        <v>188.11445543200401</v>
      </c>
      <c r="H14">
        <v>6000</v>
      </c>
      <c r="I14">
        <v>3</v>
      </c>
    </row>
    <row r="15" spans="1:9" ht="14.25" customHeight="1" x14ac:dyDescent="0.3">
      <c r="A15" t="s">
        <v>8</v>
      </c>
      <c r="B15" t="s">
        <v>34</v>
      </c>
      <c r="C15" t="s">
        <v>31</v>
      </c>
      <c r="D15" t="s">
        <v>35</v>
      </c>
      <c r="E15" t="s">
        <v>12</v>
      </c>
      <c r="F15">
        <v>222488.981</v>
      </c>
      <c r="G15">
        <v>222.488981</v>
      </c>
      <c r="H15">
        <v>2000</v>
      </c>
      <c r="I15">
        <v>1</v>
      </c>
    </row>
    <row r="16" spans="1:9" ht="14.25" customHeight="1" x14ac:dyDescent="0.3">
      <c r="A16" t="s">
        <v>8</v>
      </c>
      <c r="B16" t="s">
        <v>36</v>
      </c>
      <c r="C16" t="s">
        <v>31</v>
      </c>
      <c r="D16" t="s">
        <v>37</v>
      </c>
      <c r="E16" t="s">
        <v>12</v>
      </c>
      <c r="F16">
        <v>162088.21134153701</v>
      </c>
      <c r="G16">
        <v>162.088211341537</v>
      </c>
      <c r="H16">
        <v>2000</v>
      </c>
      <c r="I16">
        <v>1</v>
      </c>
    </row>
    <row r="17" spans="1:9" ht="14.25" customHeight="1" x14ac:dyDescent="0.3">
      <c r="A17" t="s">
        <v>8</v>
      </c>
      <c r="B17" t="s">
        <v>38</v>
      </c>
      <c r="C17" t="s">
        <v>37</v>
      </c>
      <c r="D17" t="s">
        <v>35</v>
      </c>
      <c r="E17" t="s">
        <v>12</v>
      </c>
      <c r="F17">
        <v>65587.767554279795</v>
      </c>
      <c r="G17">
        <v>65.587767554279793</v>
      </c>
      <c r="H17">
        <v>2000</v>
      </c>
      <c r="I17">
        <v>1</v>
      </c>
    </row>
    <row r="18" spans="1:9" ht="14.25" customHeight="1" x14ac:dyDescent="0.3">
      <c r="A18" t="s">
        <v>8</v>
      </c>
      <c r="B18" t="s">
        <v>39</v>
      </c>
      <c r="C18" t="s">
        <v>35</v>
      </c>
      <c r="D18" t="s">
        <v>40</v>
      </c>
      <c r="E18" t="s">
        <v>12</v>
      </c>
      <c r="F18">
        <v>31331.950352042299</v>
      </c>
      <c r="G18">
        <v>31.331950352042298</v>
      </c>
      <c r="H18">
        <v>2000</v>
      </c>
      <c r="I18">
        <v>1</v>
      </c>
    </row>
    <row r="19" spans="1:9" ht="14.25" customHeight="1" x14ac:dyDescent="0.3">
      <c r="A19" t="s">
        <v>8</v>
      </c>
      <c r="B19" t="s">
        <v>41</v>
      </c>
      <c r="C19" t="s">
        <v>40</v>
      </c>
      <c r="D19" t="s">
        <v>42</v>
      </c>
      <c r="E19" t="s">
        <v>12</v>
      </c>
      <c r="F19">
        <v>7174.0229195396496</v>
      </c>
      <c r="G19">
        <v>7.1740229195396497</v>
      </c>
      <c r="H19">
        <v>4000</v>
      </c>
      <c r="I19">
        <v>2</v>
      </c>
    </row>
    <row r="20" spans="1:9" ht="14.25" customHeight="1" x14ac:dyDescent="0.3">
      <c r="A20" t="s">
        <v>8</v>
      </c>
      <c r="B20" t="s">
        <v>43</v>
      </c>
      <c r="C20" t="s">
        <v>31</v>
      </c>
      <c r="D20" t="s">
        <v>42</v>
      </c>
      <c r="E20" t="s">
        <v>12</v>
      </c>
      <c r="F20">
        <v>218510.427900907</v>
      </c>
      <c r="G20">
        <v>218.51042790090699</v>
      </c>
      <c r="H20">
        <v>2000</v>
      </c>
      <c r="I20">
        <v>1</v>
      </c>
    </row>
    <row r="21" spans="1:9" ht="14.25" customHeight="1" x14ac:dyDescent="0.3">
      <c r="A21" t="s">
        <v>8</v>
      </c>
      <c r="B21" t="s">
        <v>44</v>
      </c>
      <c r="C21" t="s">
        <v>40</v>
      </c>
      <c r="D21" t="s">
        <v>45</v>
      </c>
      <c r="E21" t="s">
        <v>12</v>
      </c>
      <c r="F21">
        <v>11364.3563269471</v>
      </c>
      <c r="G21">
        <v>11.3643563269471</v>
      </c>
      <c r="H21">
        <v>2000</v>
      </c>
      <c r="I21">
        <v>1</v>
      </c>
    </row>
    <row r="22" spans="1:9" ht="14.25" customHeight="1" x14ac:dyDescent="0.3">
      <c r="A22" t="s">
        <v>8</v>
      </c>
      <c r="B22" t="s">
        <v>46</v>
      </c>
      <c r="C22" t="s">
        <v>45</v>
      </c>
      <c r="D22" t="s">
        <v>47</v>
      </c>
      <c r="E22" t="s">
        <v>12</v>
      </c>
      <c r="F22">
        <v>14408.2777514311</v>
      </c>
      <c r="G22">
        <v>14.4082777514311</v>
      </c>
      <c r="H22">
        <v>2000</v>
      </c>
      <c r="I22">
        <v>1</v>
      </c>
    </row>
    <row r="23" spans="1:9" ht="14.25" customHeight="1" x14ac:dyDescent="0.3">
      <c r="A23" t="s">
        <v>8</v>
      </c>
      <c r="B23" t="s">
        <v>48</v>
      </c>
      <c r="C23" t="s">
        <v>35</v>
      </c>
      <c r="D23" t="s">
        <v>49</v>
      </c>
      <c r="E23" t="s">
        <v>12</v>
      </c>
      <c r="F23">
        <v>40060.826609255397</v>
      </c>
      <c r="G23">
        <v>40.0608266092554</v>
      </c>
      <c r="H23">
        <v>2000</v>
      </c>
      <c r="I23">
        <v>1</v>
      </c>
    </row>
    <row r="24" spans="1:9" ht="14.25" customHeight="1" x14ac:dyDescent="0.3">
      <c r="A24" t="s">
        <v>8</v>
      </c>
      <c r="B24" t="s">
        <v>50</v>
      </c>
      <c r="C24" t="s">
        <v>49</v>
      </c>
      <c r="D24" t="s">
        <v>51</v>
      </c>
      <c r="E24" t="s">
        <v>12</v>
      </c>
      <c r="F24">
        <v>38693.345629026102</v>
      </c>
      <c r="G24">
        <v>38.693345629026098</v>
      </c>
      <c r="H24">
        <v>2000</v>
      </c>
      <c r="I24">
        <v>1</v>
      </c>
    </row>
    <row r="25" spans="1:9" ht="14.25" customHeight="1" x14ac:dyDescent="0.3">
      <c r="A25" t="s">
        <v>8</v>
      </c>
      <c r="B25" t="s">
        <v>52</v>
      </c>
      <c r="C25" t="s">
        <v>51</v>
      </c>
      <c r="D25" t="s">
        <v>53</v>
      </c>
      <c r="E25" t="s">
        <v>12</v>
      </c>
      <c r="F25">
        <v>56607.965786747503</v>
      </c>
      <c r="G25">
        <v>56.607965786747499</v>
      </c>
      <c r="H25">
        <v>2000</v>
      </c>
      <c r="I25">
        <v>1</v>
      </c>
    </row>
    <row r="26" spans="1:9" ht="14.25" customHeight="1" x14ac:dyDescent="0.3">
      <c r="A26" t="s">
        <v>8</v>
      </c>
      <c r="B26" t="s">
        <v>54</v>
      </c>
      <c r="C26" t="s">
        <v>53</v>
      </c>
      <c r="D26" t="s">
        <v>55</v>
      </c>
      <c r="E26" t="s">
        <v>12</v>
      </c>
      <c r="F26">
        <v>59862.1682620508</v>
      </c>
      <c r="G26">
        <v>59.862168262050801</v>
      </c>
      <c r="H26">
        <v>2000</v>
      </c>
      <c r="I26">
        <v>1</v>
      </c>
    </row>
    <row r="27" spans="1:9" ht="14.25" customHeight="1" x14ac:dyDescent="0.3">
      <c r="A27" t="s">
        <v>8</v>
      </c>
      <c r="B27" t="s">
        <v>56</v>
      </c>
      <c r="C27" t="s">
        <v>51</v>
      </c>
      <c r="D27" t="s">
        <v>47</v>
      </c>
      <c r="E27" t="s">
        <v>12</v>
      </c>
      <c r="F27">
        <v>21745.8269907508</v>
      </c>
      <c r="G27">
        <v>21.7458269907508</v>
      </c>
      <c r="H27">
        <v>2000</v>
      </c>
      <c r="I27">
        <v>1</v>
      </c>
    </row>
    <row r="28" spans="1:9" ht="14.25" customHeight="1" x14ac:dyDescent="0.3">
      <c r="A28" t="s">
        <v>8</v>
      </c>
      <c r="B28" t="s">
        <v>57</v>
      </c>
      <c r="C28" t="s">
        <v>51</v>
      </c>
      <c r="D28" t="s">
        <v>58</v>
      </c>
      <c r="E28" t="s">
        <v>12</v>
      </c>
      <c r="F28">
        <v>117724.708246269</v>
      </c>
      <c r="G28">
        <v>117.724708246269</v>
      </c>
      <c r="H28">
        <v>2000</v>
      </c>
      <c r="I28">
        <v>1</v>
      </c>
    </row>
    <row r="29" spans="1:9" ht="14.25" customHeight="1" x14ac:dyDescent="0.3">
      <c r="A29" t="s">
        <v>8</v>
      </c>
      <c r="B29" t="s">
        <v>59</v>
      </c>
      <c r="C29" t="s">
        <v>47</v>
      </c>
      <c r="D29" t="s">
        <v>58</v>
      </c>
      <c r="E29" t="s">
        <v>12</v>
      </c>
      <c r="F29">
        <v>101265.129171558</v>
      </c>
      <c r="G29">
        <v>101.265129171558</v>
      </c>
      <c r="H29">
        <v>2000</v>
      </c>
      <c r="I29">
        <v>1</v>
      </c>
    </row>
    <row r="30" spans="1:9" ht="14.25" customHeight="1" x14ac:dyDescent="0.3">
      <c r="A30" t="s">
        <v>8</v>
      </c>
      <c r="B30" t="s">
        <v>60</v>
      </c>
      <c r="C30" t="s">
        <v>47</v>
      </c>
      <c r="D30" t="s">
        <v>61</v>
      </c>
      <c r="E30" t="s">
        <v>12</v>
      </c>
      <c r="F30">
        <v>44372.973273152304</v>
      </c>
      <c r="G30">
        <v>44.372973273152297</v>
      </c>
      <c r="H30">
        <v>2000</v>
      </c>
      <c r="I30">
        <v>1</v>
      </c>
    </row>
    <row r="31" spans="1:9" ht="14.25" customHeight="1" x14ac:dyDescent="0.3">
      <c r="A31" t="s">
        <v>8</v>
      </c>
      <c r="B31" t="s">
        <v>62</v>
      </c>
      <c r="C31" t="s">
        <v>42</v>
      </c>
      <c r="D31" t="s">
        <v>33</v>
      </c>
      <c r="E31" t="s">
        <v>12</v>
      </c>
      <c r="F31">
        <v>336947.86205878301</v>
      </c>
      <c r="G31">
        <v>336.94786205878302</v>
      </c>
      <c r="H31">
        <v>2000</v>
      </c>
      <c r="I31">
        <v>1</v>
      </c>
    </row>
    <row r="32" spans="1:9" ht="14.25" customHeight="1" x14ac:dyDescent="0.3">
      <c r="A32" t="s">
        <v>8</v>
      </c>
      <c r="B32" t="s">
        <v>63</v>
      </c>
      <c r="C32" t="s">
        <v>61</v>
      </c>
      <c r="D32" t="s">
        <v>64</v>
      </c>
      <c r="E32" t="s">
        <v>12</v>
      </c>
      <c r="F32">
        <v>142898.098981816</v>
      </c>
      <c r="G32">
        <v>142.89809898181599</v>
      </c>
      <c r="H32">
        <v>2000</v>
      </c>
      <c r="I32">
        <v>1</v>
      </c>
    </row>
    <row r="33" spans="1:9" ht="14.25" customHeight="1" x14ac:dyDescent="0.3">
      <c r="A33" t="s">
        <v>8</v>
      </c>
      <c r="B33" t="s">
        <v>65</v>
      </c>
      <c r="C33" t="s">
        <v>42</v>
      </c>
      <c r="D33" t="s">
        <v>64</v>
      </c>
      <c r="E33" t="s">
        <v>12</v>
      </c>
      <c r="F33">
        <v>195019.441472078</v>
      </c>
      <c r="G33">
        <v>195.019441472078</v>
      </c>
      <c r="H33">
        <v>2000</v>
      </c>
      <c r="I33">
        <v>1</v>
      </c>
    </row>
    <row r="34" spans="1:9" ht="14.25" customHeight="1" x14ac:dyDescent="0.3">
      <c r="A34" t="s">
        <v>8</v>
      </c>
      <c r="B34" t="s">
        <v>66</v>
      </c>
      <c r="C34" t="s">
        <v>64</v>
      </c>
      <c r="D34" t="s">
        <v>33</v>
      </c>
      <c r="E34" t="s">
        <v>12</v>
      </c>
      <c r="F34">
        <v>221072.99780047199</v>
      </c>
      <c r="G34">
        <v>221.072997800472</v>
      </c>
      <c r="H34">
        <v>4000</v>
      </c>
      <c r="I34">
        <v>2</v>
      </c>
    </row>
    <row r="35" spans="1:9" ht="14.25" customHeight="1" x14ac:dyDescent="0.3">
      <c r="A35" t="s">
        <v>8</v>
      </c>
      <c r="B35" t="s">
        <v>67</v>
      </c>
      <c r="C35" t="s">
        <v>55</v>
      </c>
      <c r="D35" t="s">
        <v>58</v>
      </c>
      <c r="E35" t="s">
        <v>12</v>
      </c>
      <c r="F35">
        <v>61893.623657977601</v>
      </c>
      <c r="G35">
        <v>61.893623657977599</v>
      </c>
      <c r="H35">
        <v>2000</v>
      </c>
      <c r="I35">
        <v>1</v>
      </c>
    </row>
    <row r="36" spans="1:9" ht="14.25" customHeight="1" x14ac:dyDescent="0.3">
      <c r="A36" t="s">
        <v>8</v>
      </c>
      <c r="B36" t="s">
        <v>68</v>
      </c>
      <c r="C36" t="s">
        <v>55</v>
      </c>
      <c r="D36" t="s">
        <v>69</v>
      </c>
      <c r="E36" t="s">
        <v>12</v>
      </c>
      <c r="F36">
        <v>76415.9442145168</v>
      </c>
      <c r="G36">
        <v>76.415944214516799</v>
      </c>
      <c r="H36">
        <v>2000</v>
      </c>
      <c r="I36">
        <v>1</v>
      </c>
    </row>
    <row r="37" spans="1:9" ht="14.25" customHeight="1" x14ac:dyDescent="0.3">
      <c r="A37" t="s">
        <v>8</v>
      </c>
      <c r="B37" t="s">
        <v>70</v>
      </c>
      <c r="C37" t="s">
        <v>58</v>
      </c>
      <c r="D37" t="s">
        <v>71</v>
      </c>
      <c r="E37" t="s">
        <v>12</v>
      </c>
      <c r="F37">
        <v>107339.741916222</v>
      </c>
      <c r="G37">
        <v>107.339741916222</v>
      </c>
      <c r="H37">
        <v>4000</v>
      </c>
      <c r="I37">
        <v>2</v>
      </c>
    </row>
    <row r="38" spans="1:9" ht="14.25" customHeight="1" x14ac:dyDescent="0.3">
      <c r="A38" t="s">
        <v>8</v>
      </c>
      <c r="B38" t="s">
        <v>72</v>
      </c>
      <c r="C38" t="s">
        <v>69</v>
      </c>
      <c r="D38" t="s">
        <v>71</v>
      </c>
      <c r="E38" t="s">
        <v>12</v>
      </c>
      <c r="F38">
        <v>65903.050359444795</v>
      </c>
      <c r="G38">
        <v>65.903050359444805</v>
      </c>
      <c r="H38">
        <v>2000</v>
      </c>
      <c r="I38">
        <v>1</v>
      </c>
    </row>
    <row r="39" spans="1:9" ht="14.25" customHeight="1" x14ac:dyDescent="0.3">
      <c r="A39" t="s">
        <v>8</v>
      </c>
      <c r="B39" t="s">
        <v>73</v>
      </c>
      <c r="C39" t="s">
        <v>64</v>
      </c>
      <c r="D39" t="s">
        <v>74</v>
      </c>
      <c r="E39" t="s">
        <v>12</v>
      </c>
      <c r="F39">
        <v>31795.448822121001</v>
      </c>
      <c r="G39">
        <v>31.795448822120999</v>
      </c>
      <c r="H39">
        <v>2000</v>
      </c>
      <c r="I39">
        <v>1</v>
      </c>
    </row>
    <row r="40" spans="1:9" ht="14.25" customHeight="1" x14ac:dyDescent="0.3">
      <c r="A40" t="s">
        <v>8</v>
      </c>
      <c r="B40" t="s">
        <v>75</v>
      </c>
      <c r="C40" t="s">
        <v>71</v>
      </c>
      <c r="D40" t="s">
        <v>74</v>
      </c>
      <c r="E40" t="s">
        <v>12</v>
      </c>
      <c r="F40">
        <v>18654.308943779899</v>
      </c>
      <c r="G40">
        <v>18.654308943779899</v>
      </c>
      <c r="H40">
        <v>2000</v>
      </c>
      <c r="I40">
        <v>1</v>
      </c>
    </row>
    <row r="41" spans="1:9" ht="14.25" customHeight="1" x14ac:dyDescent="0.3">
      <c r="A41" t="s">
        <v>8</v>
      </c>
      <c r="B41" t="s">
        <v>76</v>
      </c>
      <c r="C41" t="s">
        <v>33</v>
      </c>
      <c r="D41" t="s">
        <v>77</v>
      </c>
      <c r="E41" t="s">
        <v>12</v>
      </c>
      <c r="F41">
        <v>109831.924947871</v>
      </c>
      <c r="G41">
        <v>109.831924947871</v>
      </c>
      <c r="H41">
        <v>2000</v>
      </c>
      <c r="I41">
        <v>1</v>
      </c>
    </row>
    <row r="42" spans="1:9" ht="14.25" customHeight="1" x14ac:dyDescent="0.3">
      <c r="A42" t="s">
        <v>8</v>
      </c>
      <c r="B42" t="s">
        <v>78</v>
      </c>
      <c r="C42" t="s">
        <v>64</v>
      </c>
      <c r="D42" t="s">
        <v>77</v>
      </c>
      <c r="E42" t="s">
        <v>12</v>
      </c>
      <c r="F42">
        <v>178806.174889402</v>
      </c>
      <c r="G42">
        <v>178.806174889402</v>
      </c>
      <c r="H42">
        <v>2000</v>
      </c>
      <c r="I42">
        <v>1</v>
      </c>
    </row>
    <row r="43" spans="1:9" ht="14.25" customHeight="1" x14ac:dyDescent="0.3">
      <c r="A43" t="s">
        <v>8</v>
      </c>
      <c r="B43" t="s">
        <v>79</v>
      </c>
      <c r="C43" t="s">
        <v>77</v>
      </c>
      <c r="D43" t="s">
        <v>80</v>
      </c>
      <c r="E43" t="s">
        <v>12</v>
      </c>
      <c r="F43">
        <v>241418.11413914699</v>
      </c>
      <c r="G43">
        <v>241.41811413914701</v>
      </c>
      <c r="H43">
        <v>4000</v>
      </c>
      <c r="I43">
        <v>2</v>
      </c>
    </row>
    <row r="44" spans="1:9" ht="14.25" customHeight="1" x14ac:dyDescent="0.3">
      <c r="A44" t="s">
        <v>8</v>
      </c>
      <c r="B44" t="s">
        <v>81</v>
      </c>
      <c r="C44" t="s">
        <v>80</v>
      </c>
      <c r="D44" t="s">
        <v>82</v>
      </c>
      <c r="E44" t="s">
        <v>12</v>
      </c>
      <c r="F44">
        <v>5586.7566650694798</v>
      </c>
      <c r="G44">
        <v>5.5867566650694798</v>
      </c>
      <c r="H44">
        <v>4000</v>
      </c>
      <c r="I44">
        <v>2</v>
      </c>
    </row>
    <row r="45" spans="1:9" ht="14.25" customHeight="1" x14ac:dyDescent="0.3">
      <c r="A45" t="s">
        <v>8</v>
      </c>
      <c r="B45" t="s">
        <v>83</v>
      </c>
      <c r="C45" t="s">
        <v>80</v>
      </c>
      <c r="D45" t="s">
        <v>84</v>
      </c>
      <c r="E45" t="s">
        <v>12</v>
      </c>
      <c r="F45">
        <v>53035.295987204903</v>
      </c>
      <c r="G45">
        <v>53.035295987204897</v>
      </c>
      <c r="H45">
        <v>2000</v>
      </c>
      <c r="I45">
        <v>1</v>
      </c>
    </row>
    <row r="46" spans="1:9" ht="14.25" customHeight="1" x14ac:dyDescent="0.3">
      <c r="A46" t="s">
        <v>8</v>
      </c>
      <c r="B46" t="s">
        <v>85</v>
      </c>
      <c r="C46" t="s">
        <v>80</v>
      </c>
      <c r="D46" t="s">
        <v>86</v>
      </c>
      <c r="E46" t="s">
        <v>12</v>
      </c>
      <c r="F46">
        <v>159993.77264484399</v>
      </c>
      <c r="G46">
        <v>159.993772644844</v>
      </c>
      <c r="H46">
        <v>2000</v>
      </c>
      <c r="I46">
        <v>1</v>
      </c>
    </row>
    <row r="47" spans="1:9" ht="14.25" customHeight="1" x14ac:dyDescent="0.3">
      <c r="A47" t="s">
        <v>8</v>
      </c>
      <c r="B47" t="s">
        <v>87</v>
      </c>
      <c r="C47" t="s">
        <v>86</v>
      </c>
      <c r="D47" t="s">
        <v>84</v>
      </c>
      <c r="E47" t="s">
        <v>12</v>
      </c>
      <c r="F47">
        <v>165885.64902282599</v>
      </c>
      <c r="G47">
        <v>165.88564902282599</v>
      </c>
      <c r="H47">
        <v>4000</v>
      </c>
      <c r="I47">
        <v>2</v>
      </c>
    </row>
    <row r="48" spans="1:9" ht="14.25" customHeight="1" x14ac:dyDescent="0.3">
      <c r="A48" t="s">
        <v>8</v>
      </c>
      <c r="B48" t="s">
        <v>88</v>
      </c>
      <c r="C48" t="s">
        <v>74</v>
      </c>
      <c r="D48" t="s">
        <v>89</v>
      </c>
      <c r="E48" t="s">
        <v>12</v>
      </c>
      <c r="F48">
        <v>169574.97035840299</v>
      </c>
      <c r="G48">
        <v>169.57497035840299</v>
      </c>
      <c r="H48">
        <v>2000</v>
      </c>
      <c r="I48">
        <v>1</v>
      </c>
    </row>
    <row r="49" spans="1:9" ht="14.25" customHeight="1" x14ac:dyDescent="0.3">
      <c r="A49" t="s">
        <v>8</v>
      </c>
      <c r="B49" t="s">
        <v>90</v>
      </c>
      <c r="C49" t="s">
        <v>89</v>
      </c>
      <c r="D49" t="s">
        <v>80</v>
      </c>
      <c r="E49" t="s">
        <v>12</v>
      </c>
      <c r="F49">
        <v>204747.48831988999</v>
      </c>
      <c r="G49">
        <v>204.74748831989001</v>
      </c>
      <c r="H49">
        <v>2000</v>
      </c>
      <c r="I49">
        <v>1</v>
      </c>
    </row>
    <row r="50" spans="1:9" ht="14.25" customHeight="1" x14ac:dyDescent="0.3">
      <c r="A50" t="s">
        <v>8</v>
      </c>
      <c r="B50" t="s">
        <v>91</v>
      </c>
      <c r="C50" t="s">
        <v>71</v>
      </c>
      <c r="D50" t="s">
        <v>92</v>
      </c>
      <c r="E50" t="s">
        <v>12</v>
      </c>
      <c r="F50">
        <v>222832.62073052701</v>
      </c>
      <c r="G50">
        <v>222.832620730527</v>
      </c>
      <c r="H50">
        <v>6000</v>
      </c>
      <c r="I50">
        <v>3</v>
      </c>
    </row>
    <row r="51" spans="1:9" ht="14.25" customHeight="1" x14ac:dyDescent="0.3">
      <c r="A51" t="s">
        <v>8</v>
      </c>
      <c r="B51" t="s">
        <v>93</v>
      </c>
      <c r="C51" t="s">
        <v>92</v>
      </c>
      <c r="D51" t="s">
        <v>84</v>
      </c>
      <c r="E51" t="s">
        <v>12</v>
      </c>
      <c r="F51">
        <v>131903.14764188201</v>
      </c>
      <c r="G51">
        <v>131.90314764188199</v>
      </c>
      <c r="H51">
        <v>6000</v>
      </c>
      <c r="I51">
        <v>3</v>
      </c>
    </row>
    <row r="52" spans="1:9" ht="14.25" customHeight="1" x14ac:dyDescent="0.3">
      <c r="A52" t="s">
        <v>8</v>
      </c>
      <c r="B52" t="s">
        <v>94</v>
      </c>
      <c r="C52" t="s">
        <v>86</v>
      </c>
      <c r="D52" t="s">
        <v>95</v>
      </c>
      <c r="E52" t="s">
        <v>12</v>
      </c>
      <c r="F52">
        <v>194030.73867669201</v>
      </c>
      <c r="G52">
        <v>194.03073867669201</v>
      </c>
      <c r="H52">
        <v>6000</v>
      </c>
      <c r="I52">
        <v>3</v>
      </c>
    </row>
    <row r="53" spans="1:9" ht="14.25" customHeight="1" x14ac:dyDescent="0.3">
      <c r="A53" t="s">
        <v>8</v>
      </c>
      <c r="B53" t="s">
        <v>96</v>
      </c>
      <c r="C53" t="s">
        <v>95</v>
      </c>
      <c r="D53" t="s">
        <v>97</v>
      </c>
      <c r="E53" t="s">
        <v>12</v>
      </c>
      <c r="F53">
        <v>216928.729698754</v>
      </c>
      <c r="G53">
        <v>216.92872969875401</v>
      </c>
      <c r="H53">
        <v>6000</v>
      </c>
      <c r="I53">
        <v>3</v>
      </c>
    </row>
    <row r="54" spans="1:9" ht="14.25" customHeight="1" x14ac:dyDescent="0.3">
      <c r="A54" t="s">
        <v>8</v>
      </c>
      <c r="B54" t="s">
        <v>98</v>
      </c>
      <c r="C54" t="s">
        <v>95</v>
      </c>
      <c r="D54" t="s">
        <v>99</v>
      </c>
      <c r="E54" t="s">
        <v>12</v>
      </c>
      <c r="F54">
        <v>165579.56874908699</v>
      </c>
      <c r="G54">
        <v>165.579568749087</v>
      </c>
      <c r="H54">
        <v>2000</v>
      </c>
      <c r="I54">
        <v>1</v>
      </c>
    </row>
    <row r="55" spans="1:9" ht="14.25" customHeight="1" x14ac:dyDescent="0.3">
      <c r="A55" t="s">
        <v>8</v>
      </c>
      <c r="B55" t="s">
        <v>100</v>
      </c>
      <c r="C55" t="s">
        <v>99</v>
      </c>
      <c r="D55" t="s">
        <v>101</v>
      </c>
      <c r="E55" t="s">
        <v>12</v>
      </c>
      <c r="F55">
        <v>27029.978774413299</v>
      </c>
      <c r="G55">
        <v>27.029978774413301</v>
      </c>
      <c r="H55">
        <v>2000</v>
      </c>
      <c r="I55">
        <v>1</v>
      </c>
    </row>
    <row r="56" spans="1:9" ht="14.25" customHeight="1" x14ac:dyDescent="0.3">
      <c r="A56" t="s">
        <v>8</v>
      </c>
      <c r="B56" t="s">
        <v>102</v>
      </c>
      <c r="C56" t="s">
        <v>101</v>
      </c>
      <c r="D56" t="s">
        <v>103</v>
      </c>
      <c r="E56" t="s">
        <v>12</v>
      </c>
      <c r="F56">
        <v>52428.725134016298</v>
      </c>
      <c r="G56">
        <v>52.428725134016297</v>
      </c>
      <c r="H56">
        <v>2000</v>
      </c>
      <c r="I56">
        <v>1</v>
      </c>
    </row>
    <row r="57" spans="1:9" ht="14.25" customHeight="1" x14ac:dyDescent="0.3">
      <c r="A57" t="s">
        <v>8</v>
      </c>
      <c r="B57" t="s">
        <v>104</v>
      </c>
      <c r="C57" t="s">
        <v>103</v>
      </c>
      <c r="D57" t="s">
        <v>105</v>
      </c>
      <c r="E57" t="s">
        <v>12</v>
      </c>
      <c r="F57">
        <v>23673.1175323239</v>
      </c>
      <c r="G57">
        <v>23.6731175323239</v>
      </c>
      <c r="H57">
        <v>2000</v>
      </c>
      <c r="I57">
        <v>1</v>
      </c>
    </row>
    <row r="58" spans="1:9" ht="14.25" customHeight="1" x14ac:dyDescent="0.3">
      <c r="A58" t="s">
        <v>8</v>
      </c>
      <c r="B58" t="s">
        <v>106</v>
      </c>
      <c r="C58" t="s">
        <v>105</v>
      </c>
      <c r="D58" t="s">
        <v>86</v>
      </c>
      <c r="E58" t="s">
        <v>12</v>
      </c>
      <c r="F58">
        <v>237781.683290785</v>
      </c>
      <c r="G58">
        <v>237.781683290785</v>
      </c>
      <c r="H58">
        <v>2000</v>
      </c>
      <c r="I58">
        <v>1</v>
      </c>
    </row>
    <row r="59" spans="1:9" ht="14.25" customHeight="1" x14ac:dyDescent="0.3">
      <c r="A59" t="s">
        <v>107</v>
      </c>
      <c r="B59" t="s">
        <v>108</v>
      </c>
      <c r="C59" t="s">
        <v>109</v>
      </c>
      <c r="D59" t="s">
        <v>110</v>
      </c>
      <c r="E59" t="s">
        <v>12</v>
      </c>
      <c r="F59">
        <f t="shared" ref="F59:F119" si="0">1000*G59</f>
        <v>3242.4559999999997</v>
      </c>
      <c r="G59">
        <v>3.2424559999999998</v>
      </c>
      <c r="H59">
        <v>2000</v>
      </c>
      <c r="I59">
        <v>1</v>
      </c>
    </row>
    <row r="60" spans="1:9" ht="14.25" customHeight="1" x14ac:dyDescent="0.3">
      <c r="A60" t="s">
        <v>107</v>
      </c>
      <c r="B60" t="s">
        <v>111</v>
      </c>
      <c r="C60" t="s">
        <v>109</v>
      </c>
      <c r="D60" t="s">
        <v>112</v>
      </c>
      <c r="E60" t="s">
        <v>12</v>
      </c>
      <c r="F60">
        <f t="shared" si="0"/>
        <v>25418.357</v>
      </c>
      <c r="G60">
        <v>25.418357</v>
      </c>
      <c r="H60">
        <v>2000</v>
      </c>
      <c r="I60">
        <v>1</v>
      </c>
    </row>
    <row r="61" spans="1:9" ht="14.25" customHeight="1" x14ac:dyDescent="0.3">
      <c r="A61" t="s">
        <v>107</v>
      </c>
      <c r="B61" t="s">
        <v>113</v>
      </c>
      <c r="C61" t="s">
        <v>114</v>
      </c>
      <c r="D61" t="s">
        <v>115</v>
      </c>
      <c r="E61" t="s">
        <v>12</v>
      </c>
      <c r="F61">
        <f t="shared" si="0"/>
        <v>47891.673999999999</v>
      </c>
      <c r="G61">
        <v>47.891674000000002</v>
      </c>
      <c r="H61">
        <v>2000</v>
      </c>
      <c r="I61">
        <v>1</v>
      </c>
    </row>
    <row r="62" spans="1:9" ht="14.25" customHeight="1" x14ac:dyDescent="0.3">
      <c r="A62" t="s">
        <v>107</v>
      </c>
      <c r="B62" t="s">
        <v>116</v>
      </c>
      <c r="C62" t="s">
        <v>114</v>
      </c>
      <c r="D62" t="s">
        <v>117</v>
      </c>
      <c r="E62" t="s">
        <v>12</v>
      </c>
      <c r="F62">
        <f t="shared" si="0"/>
        <v>66299.138999999996</v>
      </c>
      <c r="G62">
        <v>66.299138999999997</v>
      </c>
      <c r="H62">
        <v>2000</v>
      </c>
      <c r="I62">
        <v>1</v>
      </c>
    </row>
    <row r="63" spans="1:9" ht="14.25" customHeight="1" x14ac:dyDescent="0.3">
      <c r="A63" t="s">
        <v>107</v>
      </c>
      <c r="B63" t="s">
        <v>118</v>
      </c>
      <c r="C63" t="s">
        <v>119</v>
      </c>
      <c r="D63" t="s">
        <v>120</v>
      </c>
      <c r="E63" t="s">
        <v>12</v>
      </c>
      <c r="F63">
        <f t="shared" si="0"/>
        <v>1364.3489999999999</v>
      </c>
      <c r="G63">
        <v>1.364349</v>
      </c>
      <c r="H63">
        <v>2000</v>
      </c>
      <c r="I63">
        <v>1</v>
      </c>
    </row>
    <row r="64" spans="1:9" ht="14.25" customHeight="1" x14ac:dyDescent="0.3">
      <c r="A64" t="s">
        <v>107</v>
      </c>
      <c r="B64" t="s">
        <v>121</v>
      </c>
      <c r="C64" t="s">
        <v>122</v>
      </c>
      <c r="D64" t="s">
        <v>123</v>
      </c>
      <c r="E64" t="s">
        <v>12</v>
      </c>
      <c r="F64">
        <f t="shared" si="0"/>
        <v>23899.582999999999</v>
      </c>
      <c r="G64">
        <v>23.899583</v>
      </c>
      <c r="H64">
        <v>2000</v>
      </c>
      <c r="I64">
        <v>1</v>
      </c>
    </row>
    <row r="65" spans="1:9" ht="14.25" customHeight="1" x14ac:dyDescent="0.3">
      <c r="A65" t="s">
        <v>107</v>
      </c>
      <c r="B65" t="s">
        <v>124</v>
      </c>
      <c r="C65" t="s">
        <v>122</v>
      </c>
      <c r="D65" t="s">
        <v>125</v>
      </c>
      <c r="E65" t="s">
        <v>12</v>
      </c>
      <c r="F65">
        <f t="shared" si="0"/>
        <v>87141.960999999996</v>
      </c>
      <c r="G65">
        <v>87.141960999999995</v>
      </c>
      <c r="H65">
        <v>2000</v>
      </c>
      <c r="I65">
        <v>1</v>
      </c>
    </row>
    <row r="66" spans="1:9" ht="14.25" customHeight="1" x14ac:dyDescent="0.3">
      <c r="A66" t="s">
        <v>107</v>
      </c>
      <c r="B66" t="s">
        <v>126</v>
      </c>
      <c r="C66" t="s">
        <v>127</v>
      </c>
      <c r="D66" t="s">
        <v>128</v>
      </c>
      <c r="E66" t="s">
        <v>12</v>
      </c>
      <c r="F66">
        <f t="shared" si="0"/>
        <v>4546.1850000000004</v>
      </c>
      <c r="G66">
        <v>4.5461850000000004</v>
      </c>
      <c r="H66">
        <v>2000</v>
      </c>
      <c r="I66">
        <v>1</v>
      </c>
    </row>
    <row r="67" spans="1:9" ht="14.25" customHeight="1" x14ac:dyDescent="0.3">
      <c r="A67" t="s">
        <v>107</v>
      </c>
      <c r="B67" t="s">
        <v>129</v>
      </c>
      <c r="C67" t="s">
        <v>130</v>
      </c>
      <c r="D67" t="s">
        <v>131</v>
      </c>
      <c r="E67" t="s">
        <v>12</v>
      </c>
      <c r="F67">
        <f t="shared" si="0"/>
        <v>31341.93</v>
      </c>
      <c r="G67">
        <v>31.341930000000001</v>
      </c>
      <c r="H67">
        <v>2000</v>
      </c>
      <c r="I67">
        <v>1</v>
      </c>
    </row>
    <row r="68" spans="1:9" ht="14.25" customHeight="1" x14ac:dyDescent="0.3">
      <c r="A68" t="s">
        <v>107</v>
      </c>
      <c r="B68" t="s">
        <v>132</v>
      </c>
      <c r="C68" t="s">
        <v>130</v>
      </c>
      <c r="D68" t="s">
        <v>123</v>
      </c>
      <c r="E68" t="s">
        <v>12</v>
      </c>
      <c r="F68">
        <f t="shared" si="0"/>
        <v>44997.873</v>
      </c>
      <c r="G68">
        <v>44.997872999999998</v>
      </c>
      <c r="H68">
        <v>2000</v>
      </c>
      <c r="I68">
        <v>1</v>
      </c>
    </row>
    <row r="69" spans="1:9" ht="14.25" customHeight="1" x14ac:dyDescent="0.3">
      <c r="A69" t="s">
        <v>107</v>
      </c>
      <c r="B69" t="s">
        <v>133</v>
      </c>
      <c r="C69" t="s">
        <v>134</v>
      </c>
      <c r="D69" t="s">
        <v>135</v>
      </c>
      <c r="E69" t="s">
        <v>12</v>
      </c>
      <c r="F69">
        <f t="shared" si="0"/>
        <v>20297.097999999998</v>
      </c>
      <c r="G69">
        <v>20.297097999999998</v>
      </c>
      <c r="H69">
        <v>2000</v>
      </c>
      <c r="I69">
        <v>1</v>
      </c>
    </row>
    <row r="70" spans="1:9" ht="14.25" customHeight="1" x14ac:dyDescent="0.3">
      <c r="A70" t="s">
        <v>107</v>
      </c>
      <c r="B70" t="s">
        <v>136</v>
      </c>
      <c r="C70" t="s">
        <v>134</v>
      </c>
      <c r="D70" t="s">
        <v>137</v>
      </c>
      <c r="E70" t="s">
        <v>12</v>
      </c>
      <c r="F70">
        <f t="shared" si="0"/>
        <v>10829.338</v>
      </c>
      <c r="G70">
        <v>10.829338</v>
      </c>
      <c r="H70">
        <v>2000</v>
      </c>
      <c r="I70">
        <v>1</v>
      </c>
    </row>
    <row r="71" spans="1:9" ht="14.25" customHeight="1" x14ac:dyDescent="0.3">
      <c r="A71" t="s">
        <v>107</v>
      </c>
      <c r="B71" t="s">
        <v>138</v>
      </c>
      <c r="C71" t="s">
        <v>134</v>
      </c>
      <c r="D71" t="s">
        <v>139</v>
      </c>
      <c r="E71" t="s">
        <v>12</v>
      </c>
      <c r="F71">
        <f t="shared" si="0"/>
        <v>56847.275000000001</v>
      </c>
      <c r="G71">
        <v>56.847275000000003</v>
      </c>
      <c r="H71">
        <v>2000</v>
      </c>
      <c r="I71">
        <v>1</v>
      </c>
    </row>
    <row r="72" spans="1:9" ht="14.25" customHeight="1" x14ac:dyDescent="0.3">
      <c r="A72" t="s">
        <v>107</v>
      </c>
      <c r="B72" t="s">
        <v>140</v>
      </c>
      <c r="C72" t="s">
        <v>112</v>
      </c>
      <c r="D72" t="s">
        <v>141</v>
      </c>
      <c r="E72" t="s">
        <v>12</v>
      </c>
      <c r="F72">
        <f t="shared" si="0"/>
        <v>7453.2950000000001</v>
      </c>
      <c r="G72">
        <v>7.4532949999999998</v>
      </c>
      <c r="H72">
        <v>2000</v>
      </c>
      <c r="I72">
        <v>1</v>
      </c>
    </row>
    <row r="73" spans="1:9" ht="14.25" customHeight="1" x14ac:dyDescent="0.3">
      <c r="A73" t="s">
        <v>107</v>
      </c>
      <c r="B73" t="s">
        <v>143</v>
      </c>
      <c r="C73" t="s">
        <v>144</v>
      </c>
      <c r="D73" t="s">
        <v>145</v>
      </c>
      <c r="E73" t="s">
        <v>12</v>
      </c>
      <c r="F73">
        <f t="shared" si="0"/>
        <v>9773.896999999999</v>
      </c>
      <c r="G73">
        <v>9.7738969999999998</v>
      </c>
      <c r="H73">
        <v>2000</v>
      </c>
      <c r="I73">
        <v>1</v>
      </c>
    </row>
    <row r="74" spans="1:9" ht="14.25" customHeight="1" x14ac:dyDescent="0.3">
      <c r="A74" t="s">
        <v>107</v>
      </c>
      <c r="B74" t="s">
        <v>146</v>
      </c>
      <c r="C74" t="s">
        <v>144</v>
      </c>
      <c r="D74" t="s">
        <v>147</v>
      </c>
      <c r="E74" t="s">
        <v>12</v>
      </c>
      <c r="F74">
        <f t="shared" si="0"/>
        <v>116188.019</v>
      </c>
      <c r="G74">
        <v>116.188019</v>
      </c>
      <c r="H74">
        <v>2000</v>
      </c>
      <c r="I74">
        <v>1</v>
      </c>
    </row>
    <row r="75" spans="1:9" ht="14.25" customHeight="1" x14ac:dyDescent="0.3">
      <c r="A75" t="s">
        <v>107</v>
      </c>
      <c r="B75" t="s">
        <v>148</v>
      </c>
      <c r="C75" t="s">
        <v>145</v>
      </c>
      <c r="D75" t="s">
        <v>110</v>
      </c>
      <c r="E75" t="s">
        <v>12</v>
      </c>
      <c r="F75">
        <f t="shared" si="0"/>
        <v>16125.407999999999</v>
      </c>
      <c r="G75">
        <v>16.125408</v>
      </c>
      <c r="H75">
        <v>2000</v>
      </c>
      <c r="I75">
        <v>1</v>
      </c>
    </row>
    <row r="76" spans="1:9" ht="14.25" customHeight="1" x14ac:dyDescent="0.3">
      <c r="A76" t="s">
        <v>107</v>
      </c>
      <c r="B76" t="s">
        <v>149</v>
      </c>
      <c r="C76" t="s">
        <v>145</v>
      </c>
      <c r="D76" t="s">
        <v>150</v>
      </c>
      <c r="E76" t="s">
        <v>12</v>
      </c>
      <c r="F76">
        <f t="shared" si="0"/>
        <v>39590.6</v>
      </c>
      <c r="G76">
        <v>39.590600000000002</v>
      </c>
      <c r="H76">
        <v>2000</v>
      </c>
      <c r="I76">
        <v>1</v>
      </c>
    </row>
    <row r="77" spans="1:9" ht="14.25" customHeight="1" x14ac:dyDescent="0.3">
      <c r="A77" t="s">
        <v>107</v>
      </c>
      <c r="B77" t="s">
        <v>151</v>
      </c>
      <c r="C77" t="s">
        <v>152</v>
      </c>
      <c r="D77" t="s">
        <v>142</v>
      </c>
      <c r="E77" t="s">
        <v>12</v>
      </c>
      <c r="F77">
        <f t="shared" si="0"/>
        <v>22937.563000000002</v>
      </c>
      <c r="G77">
        <v>22.937563000000001</v>
      </c>
      <c r="H77">
        <v>2000</v>
      </c>
      <c r="I77">
        <v>1</v>
      </c>
    </row>
    <row r="78" spans="1:9" ht="14.25" customHeight="1" x14ac:dyDescent="0.3">
      <c r="A78" t="s">
        <v>107</v>
      </c>
      <c r="B78" t="s">
        <v>153</v>
      </c>
      <c r="C78" t="s">
        <v>152</v>
      </c>
      <c r="D78" t="s">
        <v>139</v>
      </c>
      <c r="E78" t="s">
        <v>12</v>
      </c>
      <c r="F78">
        <f t="shared" si="0"/>
        <v>32852.561999999998</v>
      </c>
      <c r="G78">
        <v>32.852561999999999</v>
      </c>
      <c r="H78">
        <v>2000</v>
      </c>
      <c r="I78">
        <v>1</v>
      </c>
    </row>
    <row r="79" spans="1:9" ht="14.25" customHeight="1" x14ac:dyDescent="0.3">
      <c r="A79" t="s">
        <v>107</v>
      </c>
      <c r="B79" t="s">
        <v>154</v>
      </c>
      <c r="C79" t="s">
        <v>125</v>
      </c>
      <c r="D79" t="s">
        <v>155</v>
      </c>
      <c r="E79" t="s">
        <v>12</v>
      </c>
      <c r="F79">
        <f t="shared" si="0"/>
        <v>4499.9399999999996</v>
      </c>
      <c r="G79">
        <v>4.4999399999999996</v>
      </c>
      <c r="H79">
        <v>2000</v>
      </c>
      <c r="I79">
        <v>1</v>
      </c>
    </row>
    <row r="80" spans="1:9" ht="14.25" customHeight="1" x14ac:dyDescent="0.3">
      <c r="A80" t="s">
        <v>107</v>
      </c>
      <c r="B80" t="s">
        <v>156</v>
      </c>
      <c r="C80" t="s">
        <v>157</v>
      </c>
      <c r="D80" t="s">
        <v>141</v>
      </c>
      <c r="E80" t="s">
        <v>12</v>
      </c>
      <c r="F80">
        <f t="shared" si="0"/>
        <v>92769.538</v>
      </c>
      <c r="G80">
        <v>92.769537999999997</v>
      </c>
      <c r="H80">
        <v>2000</v>
      </c>
      <c r="I80">
        <v>1</v>
      </c>
    </row>
    <row r="81" spans="1:9" ht="14.25" customHeight="1" x14ac:dyDescent="0.3">
      <c r="A81" t="s">
        <v>107</v>
      </c>
      <c r="B81" t="s">
        <v>158</v>
      </c>
      <c r="C81" t="s">
        <v>157</v>
      </c>
      <c r="D81" t="s">
        <v>135</v>
      </c>
      <c r="E81" t="s">
        <v>12</v>
      </c>
      <c r="F81">
        <f t="shared" si="0"/>
        <v>124193.17599999999</v>
      </c>
      <c r="G81">
        <v>124.19317599999999</v>
      </c>
      <c r="H81">
        <v>2000</v>
      </c>
      <c r="I81">
        <v>1</v>
      </c>
    </row>
    <row r="82" spans="1:9" ht="14.25" customHeight="1" x14ac:dyDescent="0.3">
      <c r="A82" t="s">
        <v>107</v>
      </c>
      <c r="B82" t="s">
        <v>159</v>
      </c>
      <c r="C82" t="s">
        <v>160</v>
      </c>
      <c r="D82" t="s">
        <v>128</v>
      </c>
      <c r="E82" t="s">
        <v>12</v>
      </c>
      <c r="F82">
        <f t="shared" si="0"/>
        <v>5202.3739999999998</v>
      </c>
      <c r="G82">
        <v>5.2023739999999998</v>
      </c>
      <c r="H82">
        <v>2000</v>
      </c>
      <c r="I82">
        <v>1</v>
      </c>
    </row>
    <row r="83" spans="1:9" ht="14.25" customHeight="1" x14ac:dyDescent="0.3">
      <c r="A83" t="s">
        <v>107</v>
      </c>
      <c r="B83" t="s">
        <v>161</v>
      </c>
      <c r="C83" t="s">
        <v>160</v>
      </c>
      <c r="D83" t="s">
        <v>150</v>
      </c>
      <c r="E83" t="s">
        <v>12</v>
      </c>
      <c r="F83">
        <f t="shared" si="0"/>
        <v>5188.2</v>
      </c>
      <c r="G83">
        <v>5.1882000000000001</v>
      </c>
      <c r="H83">
        <v>2000</v>
      </c>
      <c r="I83">
        <v>1</v>
      </c>
    </row>
    <row r="84" spans="1:9" ht="14.25" customHeight="1" x14ac:dyDescent="0.3">
      <c r="A84" t="s">
        <v>107</v>
      </c>
      <c r="B84" t="s">
        <v>162</v>
      </c>
      <c r="C84" t="s">
        <v>131</v>
      </c>
      <c r="D84" t="s">
        <v>163</v>
      </c>
      <c r="E84" t="s">
        <v>12</v>
      </c>
      <c r="F84">
        <f t="shared" si="0"/>
        <v>10831.44</v>
      </c>
      <c r="G84">
        <v>10.831440000000001</v>
      </c>
      <c r="H84">
        <v>2000</v>
      </c>
      <c r="I84">
        <v>1</v>
      </c>
    </row>
    <row r="85" spans="1:9" ht="14.25" customHeight="1" x14ac:dyDescent="0.3">
      <c r="A85" t="s">
        <v>107</v>
      </c>
      <c r="B85" t="s">
        <v>164</v>
      </c>
      <c r="C85" t="s">
        <v>117</v>
      </c>
      <c r="D85" t="s">
        <v>165</v>
      </c>
      <c r="E85" t="s">
        <v>12</v>
      </c>
      <c r="F85">
        <f t="shared" si="0"/>
        <v>43169.485000000001</v>
      </c>
      <c r="G85">
        <v>43.169485000000002</v>
      </c>
      <c r="H85">
        <v>2000</v>
      </c>
      <c r="I85">
        <v>1</v>
      </c>
    </row>
    <row r="86" spans="1:9" ht="14.25" customHeight="1" x14ac:dyDescent="0.3">
      <c r="A86" t="s">
        <v>107</v>
      </c>
      <c r="B86" t="s">
        <v>166</v>
      </c>
      <c r="C86" t="s">
        <v>167</v>
      </c>
      <c r="D86" t="s">
        <v>137</v>
      </c>
      <c r="E86" t="s">
        <v>12</v>
      </c>
      <c r="F86">
        <f t="shared" si="0"/>
        <v>7365.01</v>
      </c>
      <c r="G86">
        <v>7.3650099999999998</v>
      </c>
      <c r="H86">
        <v>2000</v>
      </c>
      <c r="I86">
        <v>1</v>
      </c>
    </row>
    <row r="87" spans="1:9" ht="14.25" customHeight="1" x14ac:dyDescent="0.3">
      <c r="A87" t="s">
        <v>107</v>
      </c>
      <c r="B87" t="s">
        <v>168</v>
      </c>
      <c r="C87" t="s">
        <v>137</v>
      </c>
      <c r="D87" t="s">
        <v>169</v>
      </c>
      <c r="E87" t="s">
        <v>12</v>
      </c>
      <c r="F87">
        <f t="shared" si="0"/>
        <v>11132.384999999998</v>
      </c>
      <c r="G87">
        <v>11.132384999999999</v>
      </c>
      <c r="H87">
        <v>2000</v>
      </c>
      <c r="I87">
        <v>1</v>
      </c>
    </row>
    <row r="88" spans="1:9" ht="14.25" customHeight="1" x14ac:dyDescent="0.3">
      <c r="A88" t="s">
        <v>107</v>
      </c>
      <c r="B88" t="s">
        <v>170</v>
      </c>
      <c r="C88" t="s">
        <v>147</v>
      </c>
      <c r="D88" t="s">
        <v>171</v>
      </c>
      <c r="E88" t="s">
        <v>12</v>
      </c>
      <c r="F88">
        <f t="shared" si="0"/>
        <v>38761.667999999998</v>
      </c>
      <c r="G88">
        <v>38.761668</v>
      </c>
      <c r="H88">
        <v>2000</v>
      </c>
      <c r="I88">
        <v>1</v>
      </c>
    </row>
    <row r="89" spans="1:9" ht="14.25" customHeight="1" x14ac:dyDescent="0.3">
      <c r="A89" t="s">
        <v>107</v>
      </c>
      <c r="B89" t="s">
        <v>172</v>
      </c>
      <c r="C89" t="s">
        <v>150</v>
      </c>
      <c r="D89" t="s">
        <v>165</v>
      </c>
      <c r="E89" t="s">
        <v>12</v>
      </c>
      <c r="F89">
        <f t="shared" si="0"/>
        <v>33972.178</v>
      </c>
      <c r="G89">
        <v>33.972178</v>
      </c>
      <c r="H89">
        <v>2000</v>
      </c>
      <c r="I89">
        <v>1</v>
      </c>
    </row>
    <row r="90" spans="1:9" ht="14.25" customHeight="1" x14ac:dyDescent="0.3">
      <c r="A90" t="s">
        <v>107</v>
      </c>
      <c r="B90" t="s">
        <v>173</v>
      </c>
      <c r="C90" t="s">
        <v>174</v>
      </c>
      <c r="D90" t="s">
        <v>171</v>
      </c>
      <c r="E90" t="s">
        <v>12</v>
      </c>
      <c r="F90">
        <f t="shared" si="0"/>
        <v>16277.628000000001</v>
      </c>
      <c r="G90">
        <v>16.277628</v>
      </c>
      <c r="H90">
        <v>2000</v>
      </c>
      <c r="I90">
        <v>1</v>
      </c>
    </row>
    <row r="91" spans="1:9" ht="14.25" customHeight="1" x14ac:dyDescent="0.3">
      <c r="A91" t="s">
        <v>107</v>
      </c>
      <c r="B91" t="s">
        <v>175</v>
      </c>
      <c r="C91" t="s">
        <v>174</v>
      </c>
      <c r="D91" t="s">
        <v>163</v>
      </c>
      <c r="E91" t="s">
        <v>12</v>
      </c>
      <c r="F91">
        <f t="shared" si="0"/>
        <v>143923.704</v>
      </c>
      <c r="G91">
        <v>143.92370399999999</v>
      </c>
      <c r="H91">
        <v>2000</v>
      </c>
      <c r="I91">
        <v>1</v>
      </c>
    </row>
    <row r="92" spans="1:9" ht="14.25" customHeight="1" x14ac:dyDescent="0.3">
      <c r="A92" t="s">
        <v>107</v>
      </c>
      <c r="B92" t="s">
        <v>176</v>
      </c>
      <c r="C92" t="s">
        <v>177</v>
      </c>
      <c r="D92" t="s">
        <v>77</v>
      </c>
      <c r="E92" t="s">
        <v>12</v>
      </c>
      <c r="F92">
        <f t="shared" si="0"/>
        <v>49127.525000000001</v>
      </c>
      <c r="G92">
        <v>49.127524999999999</v>
      </c>
      <c r="H92">
        <v>2000</v>
      </c>
      <c r="I92">
        <v>1</v>
      </c>
    </row>
    <row r="93" spans="1:9" ht="14.25" customHeight="1" x14ac:dyDescent="0.3">
      <c r="A93" t="s">
        <v>107</v>
      </c>
      <c r="B93" t="s">
        <v>178</v>
      </c>
      <c r="C93" t="s">
        <v>179</v>
      </c>
      <c r="D93" t="s">
        <v>77</v>
      </c>
      <c r="E93" t="s">
        <v>12</v>
      </c>
      <c r="F93">
        <f t="shared" si="0"/>
        <v>27779.892</v>
      </c>
      <c r="G93">
        <v>27.779892</v>
      </c>
      <c r="H93">
        <v>2000</v>
      </c>
      <c r="I93">
        <v>1</v>
      </c>
    </row>
    <row r="94" spans="1:9" ht="14.25" customHeight="1" x14ac:dyDescent="0.3">
      <c r="A94" t="s">
        <v>107</v>
      </c>
      <c r="B94" t="s">
        <v>180</v>
      </c>
      <c r="C94" t="s">
        <v>179</v>
      </c>
      <c r="D94" t="s">
        <v>89</v>
      </c>
      <c r="E94" t="s">
        <v>12</v>
      </c>
      <c r="F94">
        <f t="shared" si="0"/>
        <v>85242.338000000003</v>
      </c>
      <c r="G94">
        <v>85.242338000000004</v>
      </c>
      <c r="H94">
        <v>2000</v>
      </c>
      <c r="I94">
        <v>1</v>
      </c>
    </row>
    <row r="95" spans="1:9" ht="14.25" customHeight="1" x14ac:dyDescent="0.3">
      <c r="A95" t="s">
        <v>107</v>
      </c>
      <c r="B95" t="s">
        <v>181</v>
      </c>
      <c r="C95" t="s">
        <v>122</v>
      </c>
      <c r="D95" t="s">
        <v>69</v>
      </c>
      <c r="E95" t="s">
        <v>12</v>
      </c>
      <c r="F95">
        <f t="shared" si="0"/>
        <v>5474.8450000000003</v>
      </c>
      <c r="G95">
        <v>5.4748450000000002</v>
      </c>
      <c r="H95">
        <v>2000</v>
      </c>
      <c r="I95">
        <v>1</v>
      </c>
    </row>
    <row r="96" spans="1:9" ht="14.25" customHeight="1" x14ac:dyDescent="0.3">
      <c r="A96" t="s">
        <v>107</v>
      </c>
      <c r="B96" t="s">
        <v>182</v>
      </c>
      <c r="C96" t="s">
        <v>183</v>
      </c>
      <c r="D96" t="s">
        <v>69</v>
      </c>
      <c r="E96" t="s">
        <v>12</v>
      </c>
      <c r="F96">
        <f t="shared" si="0"/>
        <v>28731.371999999999</v>
      </c>
      <c r="G96">
        <v>28.731372</v>
      </c>
      <c r="H96">
        <v>2000</v>
      </c>
      <c r="I96">
        <v>1</v>
      </c>
    </row>
    <row r="97" spans="1:9" ht="14.25" customHeight="1" x14ac:dyDescent="0.3">
      <c r="A97" t="s">
        <v>107</v>
      </c>
      <c r="B97" t="s">
        <v>184</v>
      </c>
      <c r="C97" t="s">
        <v>183</v>
      </c>
      <c r="D97" t="s">
        <v>55</v>
      </c>
      <c r="E97" t="s">
        <v>12</v>
      </c>
      <c r="F97">
        <f t="shared" si="0"/>
        <v>37770.447</v>
      </c>
      <c r="G97">
        <v>37.770446999999997</v>
      </c>
      <c r="H97">
        <v>2000</v>
      </c>
      <c r="I97">
        <v>1</v>
      </c>
    </row>
    <row r="98" spans="1:9" ht="14.25" customHeight="1" x14ac:dyDescent="0.3">
      <c r="A98" t="s">
        <v>107</v>
      </c>
      <c r="B98" t="s">
        <v>185</v>
      </c>
      <c r="C98" t="s">
        <v>186</v>
      </c>
      <c r="D98" t="s">
        <v>58</v>
      </c>
      <c r="E98" t="s">
        <v>12</v>
      </c>
      <c r="F98">
        <f t="shared" si="0"/>
        <v>75168.58</v>
      </c>
      <c r="G98">
        <v>75.168580000000006</v>
      </c>
      <c r="H98">
        <v>2000</v>
      </c>
      <c r="I98">
        <v>1</v>
      </c>
    </row>
    <row r="99" spans="1:9" ht="14.25" customHeight="1" x14ac:dyDescent="0.3">
      <c r="A99" t="s">
        <v>107</v>
      </c>
      <c r="B99" t="s">
        <v>187</v>
      </c>
      <c r="C99" t="s">
        <v>186</v>
      </c>
      <c r="D99" t="s">
        <v>61</v>
      </c>
      <c r="E99" t="s">
        <v>12</v>
      </c>
      <c r="F99">
        <f t="shared" si="0"/>
        <v>25313.054</v>
      </c>
      <c r="G99">
        <v>25.313054000000001</v>
      </c>
      <c r="H99">
        <v>2000</v>
      </c>
      <c r="I99">
        <v>1</v>
      </c>
    </row>
    <row r="100" spans="1:9" ht="14.25" customHeight="1" x14ac:dyDescent="0.3">
      <c r="A100" t="s">
        <v>107</v>
      </c>
      <c r="B100" t="s">
        <v>188</v>
      </c>
      <c r="C100" t="s">
        <v>189</v>
      </c>
      <c r="D100" t="s">
        <v>51</v>
      </c>
      <c r="E100" t="s">
        <v>12</v>
      </c>
      <c r="F100">
        <f t="shared" si="0"/>
        <v>23344.34</v>
      </c>
      <c r="G100">
        <v>23.344339999999999</v>
      </c>
      <c r="H100">
        <v>2000</v>
      </c>
      <c r="I100">
        <v>1</v>
      </c>
    </row>
    <row r="101" spans="1:9" ht="14.25" customHeight="1" x14ac:dyDescent="0.3">
      <c r="A101" t="s">
        <v>107</v>
      </c>
      <c r="B101" t="s">
        <v>190</v>
      </c>
      <c r="C101" t="s">
        <v>49</v>
      </c>
      <c r="D101" t="s">
        <v>189</v>
      </c>
      <c r="E101" t="s">
        <v>12</v>
      </c>
      <c r="F101">
        <f t="shared" si="0"/>
        <v>26118.808999999997</v>
      </c>
      <c r="G101">
        <v>26.118808999999999</v>
      </c>
      <c r="H101">
        <v>2000</v>
      </c>
      <c r="I101">
        <v>1</v>
      </c>
    </row>
    <row r="102" spans="1:9" ht="14.25" customHeight="1" x14ac:dyDescent="0.3">
      <c r="A102" t="s">
        <v>107</v>
      </c>
      <c r="B102" t="s">
        <v>191</v>
      </c>
      <c r="C102" t="s">
        <v>192</v>
      </c>
      <c r="D102" t="s">
        <v>189</v>
      </c>
      <c r="E102" t="s">
        <v>12</v>
      </c>
      <c r="F102">
        <f t="shared" si="0"/>
        <v>3171.5259999999998</v>
      </c>
      <c r="G102">
        <v>3.1715260000000001</v>
      </c>
      <c r="H102">
        <v>2000</v>
      </c>
      <c r="I102">
        <v>1</v>
      </c>
    </row>
    <row r="103" spans="1:9" ht="14.25" customHeight="1" x14ac:dyDescent="0.3">
      <c r="A103" t="s">
        <v>107</v>
      </c>
      <c r="B103" t="s">
        <v>193</v>
      </c>
      <c r="C103" t="s">
        <v>119</v>
      </c>
      <c r="D103" t="s">
        <v>74</v>
      </c>
      <c r="E103" t="s">
        <v>12</v>
      </c>
      <c r="F103">
        <f t="shared" si="0"/>
        <v>50988.735000000001</v>
      </c>
      <c r="G103">
        <v>50.988734999999998</v>
      </c>
      <c r="H103">
        <v>2000</v>
      </c>
      <c r="I103">
        <v>1</v>
      </c>
    </row>
    <row r="104" spans="1:9" ht="14.25" customHeight="1" x14ac:dyDescent="0.3">
      <c r="A104" t="s">
        <v>107</v>
      </c>
      <c r="B104" t="s">
        <v>194</v>
      </c>
      <c r="C104" t="s">
        <v>120</v>
      </c>
      <c r="D104" t="s">
        <v>89</v>
      </c>
      <c r="E104" t="s">
        <v>12</v>
      </c>
      <c r="F104">
        <f t="shared" si="0"/>
        <v>71158.034</v>
      </c>
      <c r="G104">
        <v>71.158034000000001</v>
      </c>
      <c r="H104">
        <v>2000</v>
      </c>
      <c r="I104">
        <v>1</v>
      </c>
    </row>
    <row r="105" spans="1:9" ht="14.25" customHeight="1" x14ac:dyDescent="0.3">
      <c r="A105" t="s">
        <v>195</v>
      </c>
      <c r="B105" t="s">
        <v>196</v>
      </c>
      <c r="C105" t="s">
        <v>197</v>
      </c>
      <c r="D105" t="s">
        <v>47</v>
      </c>
      <c r="E105" t="s">
        <v>12</v>
      </c>
      <c r="F105">
        <f t="shared" si="0"/>
        <v>8064.3860000000004</v>
      </c>
      <c r="G105">
        <v>8.0643860000000007</v>
      </c>
      <c r="H105">
        <v>2000</v>
      </c>
      <c r="I105">
        <v>1</v>
      </c>
    </row>
    <row r="106" spans="1:9" ht="14.25" customHeight="1" x14ac:dyDescent="0.3">
      <c r="A106" t="s">
        <v>195</v>
      </c>
      <c r="B106" t="s">
        <v>198</v>
      </c>
      <c r="C106" t="s">
        <v>51</v>
      </c>
      <c r="D106" t="s">
        <v>199</v>
      </c>
      <c r="E106" t="s">
        <v>12</v>
      </c>
      <c r="F106">
        <f t="shared" si="0"/>
        <v>8022.1699999999992</v>
      </c>
      <c r="G106">
        <v>8.0221699999999991</v>
      </c>
      <c r="H106">
        <v>2000</v>
      </c>
      <c r="I106">
        <v>1</v>
      </c>
    </row>
    <row r="107" spans="1:9" ht="14.25" customHeight="1" x14ac:dyDescent="0.3">
      <c r="A107" t="s">
        <v>195</v>
      </c>
      <c r="B107" t="s">
        <v>200</v>
      </c>
      <c r="C107" t="s">
        <v>197</v>
      </c>
      <c r="D107" t="s">
        <v>45</v>
      </c>
      <c r="E107" t="s">
        <v>12</v>
      </c>
      <c r="F107">
        <f t="shared" si="0"/>
        <v>10270.251999999999</v>
      </c>
      <c r="G107">
        <v>10.270251999999999</v>
      </c>
      <c r="H107">
        <v>2000</v>
      </c>
      <c r="I107">
        <v>1</v>
      </c>
    </row>
    <row r="108" spans="1:9" ht="14.25" customHeight="1" x14ac:dyDescent="0.3">
      <c r="A108" t="s">
        <v>201</v>
      </c>
      <c r="B108" t="s">
        <v>202</v>
      </c>
      <c r="C108" t="s">
        <v>51</v>
      </c>
      <c r="D108" t="s">
        <v>203</v>
      </c>
      <c r="E108" t="s">
        <v>12</v>
      </c>
      <c r="F108">
        <f t="shared" si="0"/>
        <v>9835.0149999999994</v>
      </c>
      <c r="G108">
        <v>9.8350150000000003</v>
      </c>
      <c r="H108">
        <v>2000</v>
      </c>
      <c r="I108">
        <v>1</v>
      </c>
    </row>
    <row r="109" spans="1:9" ht="14.25" customHeight="1" x14ac:dyDescent="0.3">
      <c r="A109" t="s">
        <v>201</v>
      </c>
      <c r="B109" t="s">
        <v>204</v>
      </c>
      <c r="C109" t="s">
        <v>205</v>
      </c>
      <c r="D109" t="s">
        <v>64</v>
      </c>
      <c r="E109" t="s">
        <v>12</v>
      </c>
      <c r="F109">
        <f t="shared" si="0"/>
        <v>43126.700999999994</v>
      </c>
      <c r="G109">
        <v>43.126700999999997</v>
      </c>
      <c r="H109">
        <v>2000</v>
      </c>
      <c r="I109">
        <v>1</v>
      </c>
    </row>
    <row r="110" spans="1:9" ht="14.25" customHeight="1" x14ac:dyDescent="0.3">
      <c r="A110" t="s">
        <v>201</v>
      </c>
      <c r="B110" t="s">
        <v>206</v>
      </c>
      <c r="C110" t="s">
        <v>205</v>
      </c>
      <c r="D110" t="s">
        <v>58</v>
      </c>
      <c r="E110" t="s">
        <v>12</v>
      </c>
      <c r="F110">
        <f t="shared" si="0"/>
        <v>20828.724000000002</v>
      </c>
      <c r="G110">
        <v>20.828724000000001</v>
      </c>
      <c r="H110">
        <v>2000</v>
      </c>
      <c r="I110">
        <v>1</v>
      </c>
    </row>
    <row r="111" spans="1:9" ht="14.25" customHeight="1" x14ac:dyDescent="0.3">
      <c r="A111" t="s">
        <v>207</v>
      </c>
      <c r="B111" t="s">
        <v>209</v>
      </c>
      <c r="C111" t="s">
        <v>210</v>
      </c>
      <c r="D111" t="s">
        <v>211</v>
      </c>
      <c r="E111" t="s">
        <v>12</v>
      </c>
      <c r="F111">
        <f t="shared" si="0"/>
        <v>100.91200000000001</v>
      </c>
      <c r="G111">
        <v>0.100912</v>
      </c>
      <c r="H111">
        <v>2000</v>
      </c>
      <c r="I111">
        <v>1</v>
      </c>
    </row>
    <row r="112" spans="1:9" ht="14.25" customHeight="1" x14ac:dyDescent="0.3">
      <c r="A112" t="s">
        <v>207</v>
      </c>
      <c r="B112" t="s">
        <v>212</v>
      </c>
      <c r="C112" t="s">
        <v>213</v>
      </c>
      <c r="D112" t="s">
        <v>214</v>
      </c>
      <c r="E112" t="s">
        <v>12</v>
      </c>
      <c r="F112">
        <f t="shared" si="0"/>
        <v>201.785</v>
      </c>
      <c r="G112">
        <v>0.20178499999999999</v>
      </c>
      <c r="H112">
        <v>2000</v>
      </c>
      <c r="I112">
        <v>1</v>
      </c>
    </row>
    <row r="113" spans="1:9" ht="14.25" customHeight="1" x14ac:dyDescent="0.3">
      <c r="A113" t="s">
        <v>207</v>
      </c>
      <c r="B113" t="s">
        <v>215</v>
      </c>
      <c r="C113" t="s">
        <v>216</v>
      </c>
      <c r="D113" t="s">
        <v>217</v>
      </c>
      <c r="E113" t="s">
        <v>12</v>
      </c>
      <c r="F113">
        <f t="shared" si="0"/>
        <v>120.82299999999999</v>
      </c>
      <c r="G113">
        <v>0.120823</v>
      </c>
      <c r="H113">
        <v>2000</v>
      </c>
      <c r="I113">
        <v>1</v>
      </c>
    </row>
    <row r="114" spans="1:9" ht="14.25" customHeight="1" x14ac:dyDescent="0.3">
      <c r="A114" t="s">
        <v>207</v>
      </c>
      <c r="B114" t="s">
        <v>218</v>
      </c>
      <c r="C114" t="s">
        <v>219</v>
      </c>
      <c r="D114" t="s">
        <v>220</v>
      </c>
      <c r="E114" t="s">
        <v>12</v>
      </c>
      <c r="F114">
        <f t="shared" si="0"/>
        <v>661.46300000000008</v>
      </c>
      <c r="G114">
        <v>0.66146300000000002</v>
      </c>
      <c r="H114">
        <v>2000</v>
      </c>
      <c r="I114">
        <v>1</v>
      </c>
    </row>
    <row r="115" spans="1:9" ht="14.25" customHeight="1" x14ac:dyDescent="0.3">
      <c r="A115" t="s">
        <v>207</v>
      </c>
      <c r="B115" t="s">
        <v>221</v>
      </c>
      <c r="C115" t="s">
        <v>222</v>
      </c>
      <c r="D115" t="s">
        <v>97</v>
      </c>
      <c r="E115" t="s">
        <v>12</v>
      </c>
      <c r="F115">
        <f t="shared" si="0"/>
        <v>720.346</v>
      </c>
      <c r="G115">
        <v>0.72034600000000004</v>
      </c>
      <c r="H115">
        <v>2000</v>
      </c>
      <c r="I115">
        <v>1</v>
      </c>
    </row>
    <row r="116" spans="1:9" ht="14.25" customHeight="1" x14ac:dyDescent="0.3">
      <c r="A116" t="s">
        <v>207</v>
      </c>
      <c r="B116" t="s">
        <v>223</v>
      </c>
      <c r="C116" t="s">
        <v>224</v>
      </c>
      <c r="D116" t="s">
        <v>225</v>
      </c>
      <c r="E116" t="s">
        <v>12</v>
      </c>
      <c r="F116">
        <f t="shared" si="0"/>
        <v>1823.3490000000002</v>
      </c>
      <c r="G116">
        <v>1.8233490000000001</v>
      </c>
      <c r="H116">
        <v>2000</v>
      </c>
      <c r="I116">
        <v>1</v>
      </c>
    </row>
    <row r="117" spans="1:9" ht="14.25" customHeight="1" x14ac:dyDescent="0.3">
      <c r="A117" t="s">
        <v>207</v>
      </c>
      <c r="B117" t="s">
        <v>226</v>
      </c>
      <c r="C117" t="s">
        <v>227</v>
      </c>
      <c r="D117" t="s">
        <v>16</v>
      </c>
      <c r="E117" t="s">
        <v>12</v>
      </c>
      <c r="F117">
        <f t="shared" si="0"/>
        <v>500.536</v>
      </c>
      <c r="G117">
        <v>0.50053599999999998</v>
      </c>
      <c r="H117">
        <v>2000</v>
      </c>
      <c r="I117">
        <v>1</v>
      </c>
    </row>
    <row r="118" spans="1:9" ht="14.25" customHeight="1" x14ac:dyDescent="0.3">
      <c r="A118" t="s">
        <v>207</v>
      </c>
      <c r="B118" t="s">
        <v>228</v>
      </c>
      <c r="C118" t="s">
        <v>229</v>
      </c>
      <c r="D118" t="s">
        <v>11</v>
      </c>
      <c r="E118" t="s">
        <v>12</v>
      </c>
      <c r="F118">
        <f t="shared" si="0"/>
        <v>2395.502</v>
      </c>
      <c r="G118">
        <v>2.395502</v>
      </c>
      <c r="H118">
        <v>2000</v>
      </c>
      <c r="I118">
        <v>1</v>
      </c>
    </row>
    <row r="119" spans="1:9" ht="14.25" customHeight="1" x14ac:dyDescent="0.3">
      <c r="A119" t="s">
        <v>207</v>
      </c>
      <c r="B119" t="s">
        <v>230</v>
      </c>
      <c r="C119" t="s">
        <v>231</v>
      </c>
      <c r="D119" t="s">
        <v>232</v>
      </c>
      <c r="E119" t="s">
        <v>12</v>
      </c>
      <c r="F119">
        <f t="shared" si="0"/>
        <v>1631.268</v>
      </c>
      <c r="G119">
        <v>1.6312679999999999</v>
      </c>
      <c r="H119">
        <v>2000</v>
      </c>
      <c r="I119">
        <v>1</v>
      </c>
    </row>
    <row r="120" spans="1:9" ht="14.25" customHeight="1" x14ac:dyDescent="0.3">
      <c r="A120" t="s">
        <v>207</v>
      </c>
      <c r="B120" t="s">
        <v>233</v>
      </c>
      <c r="C120" t="s">
        <v>234</v>
      </c>
      <c r="D120" t="s">
        <v>235</v>
      </c>
      <c r="E120" t="s">
        <v>12</v>
      </c>
      <c r="F120">
        <f t="shared" ref="F120:F183" si="1">1000*G120</f>
        <v>3756.136</v>
      </c>
      <c r="G120">
        <v>3.7561360000000001</v>
      </c>
      <c r="H120">
        <v>2000</v>
      </c>
      <c r="I120">
        <v>1</v>
      </c>
    </row>
    <row r="121" spans="1:9" ht="14.25" customHeight="1" x14ac:dyDescent="0.3">
      <c r="A121" t="s">
        <v>207</v>
      </c>
      <c r="B121" t="s">
        <v>236</v>
      </c>
      <c r="C121" t="s">
        <v>103</v>
      </c>
      <c r="D121" t="s">
        <v>237</v>
      </c>
      <c r="E121" t="s">
        <v>12</v>
      </c>
      <c r="F121">
        <f t="shared" si="1"/>
        <v>2596.6809999999996</v>
      </c>
      <c r="G121">
        <v>2.5966809999999998</v>
      </c>
      <c r="H121">
        <v>2000</v>
      </c>
      <c r="I121">
        <v>1</v>
      </c>
    </row>
    <row r="122" spans="1:9" ht="14.25" customHeight="1" x14ac:dyDescent="0.3">
      <c r="A122" t="s">
        <v>207</v>
      </c>
      <c r="B122" t="s">
        <v>238</v>
      </c>
      <c r="C122" t="s">
        <v>239</v>
      </c>
      <c r="D122" t="s">
        <v>84</v>
      </c>
      <c r="E122" t="s">
        <v>12</v>
      </c>
      <c r="F122">
        <f t="shared" si="1"/>
        <v>5025.2820000000002</v>
      </c>
      <c r="G122">
        <v>5.0252819999999998</v>
      </c>
      <c r="H122">
        <v>2000</v>
      </c>
      <c r="I122">
        <v>1</v>
      </c>
    </row>
    <row r="123" spans="1:9" ht="14.25" customHeight="1" x14ac:dyDescent="0.3">
      <c r="A123" t="s">
        <v>207</v>
      </c>
      <c r="B123" t="s">
        <v>240</v>
      </c>
      <c r="C123" t="s">
        <v>241</v>
      </c>
      <c r="D123" t="s">
        <v>242</v>
      </c>
      <c r="E123" t="s">
        <v>12</v>
      </c>
      <c r="F123">
        <f t="shared" si="1"/>
        <v>6747.0219999999999</v>
      </c>
      <c r="G123">
        <v>6.7470220000000003</v>
      </c>
      <c r="H123">
        <v>2000</v>
      </c>
      <c r="I123">
        <v>1</v>
      </c>
    </row>
    <row r="124" spans="1:9" ht="14.25" customHeight="1" x14ac:dyDescent="0.3">
      <c r="A124" t="s">
        <v>207</v>
      </c>
      <c r="B124" t="s">
        <v>243</v>
      </c>
      <c r="C124" t="s">
        <v>208</v>
      </c>
      <c r="D124" t="s">
        <v>49</v>
      </c>
      <c r="E124" t="s">
        <v>12</v>
      </c>
      <c r="F124">
        <f t="shared" si="1"/>
        <v>2069.886</v>
      </c>
      <c r="G124">
        <v>2.0698859999999999</v>
      </c>
      <c r="H124">
        <v>2000</v>
      </c>
      <c r="I124">
        <v>1</v>
      </c>
    </row>
    <row r="125" spans="1:9" ht="14.25" customHeight="1" x14ac:dyDescent="0.3">
      <c r="A125" t="s">
        <v>207</v>
      </c>
      <c r="B125" t="s">
        <v>244</v>
      </c>
      <c r="C125" t="s">
        <v>245</v>
      </c>
      <c r="D125" t="s">
        <v>214</v>
      </c>
      <c r="E125" t="s">
        <v>12</v>
      </c>
      <c r="F125">
        <f t="shared" si="1"/>
        <v>6969.5960000000005</v>
      </c>
      <c r="G125">
        <v>6.9695960000000001</v>
      </c>
      <c r="H125">
        <v>2000</v>
      </c>
      <c r="I125">
        <v>1</v>
      </c>
    </row>
    <row r="126" spans="1:9" ht="14.25" customHeight="1" x14ac:dyDescent="0.3">
      <c r="A126" t="s">
        <v>207</v>
      </c>
      <c r="B126" t="s">
        <v>246</v>
      </c>
      <c r="C126" t="s">
        <v>247</v>
      </c>
      <c r="D126" t="s">
        <v>105</v>
      </c>
      <c r="E126" t="s">
        <v>12</v>
      </c>
      <c r="F126">
        <f t="shared" si="1"/>
        <v>3260.279</v>
      </c>
      <c r="G126">
        <v>3.2602790000000001</v>
      </c>
      <c r="H126">
        <v>2000</v>
      </c>
      <c r="I126">
        <v>1</v>
      </c>
    </row>
    <row r="127" spans="1:9" ht="14.25" customHeight="1" x14ac:dyDescent="0.3">
      <c r="A127" t="s">
        <v>207</v>
      </c>
      <c r="B127" t="s">
        <v>248</v>
      </c>
      <c r="C127" t="s">
        <v>249</v>
      </c>
      <c r="D127" t="s">
        <v>80</v>
      </c>
      <c r="E127" t="s">
        <v>12</v>
      </c>
      <c r="F127">
        <f t="shared" si="1"/>
        <v>11244.752</v>
      </c>
      <c r="G127">
        <v>11.244752</v>
      </c>
      <c r="H127">
        <v>2000</v>
      </c>
      <c r="I127">
        <v>1</v>
      </c>
    </row>
    <row r="128" spans="1:9" ht="14.25" customHeight="1" x14ac:dyDescent="0.3">
      <c r="A128" t="s">
        <v>207</v>
      </c>
      <c r="B128" t="s">
        <v>250</v>
      </c>
      <c r="C128" t="s">
        <v>241</v>
      </c>
      <c r="D128" t="s">
        <v>251</v>
      </c>
      <c r="E128" t="s">
        <v>12</v>
      </c>
      <c r="F128">
        <f t="shared" si="1"/>
        <v>10887.936</v>
      </c>
      <c r="G128">
        <v>10.887936</v>
      </c>
      <c r="H128">
        <v>2000</v>
      </c>
      <c r="I128">
        <v>1</v>
      </c>
    </row>
    <row r="129" spans="1:9" ht="14.25" customHeight="1" x14ac:dyDescent="0.3">
      <c r="A129" t="s">
        <v>207</v>
      </c>
      <c r="B129" t="s">
        <v>252</v>
      </c>
      <c r="C129" t="s">
        <v>253</v>
      </c>
      <c r="D129" t="s">
        <v>40</v>
      </c>
      <c r="E129" t="s">
        <v>12</v>
      </c>
      <c r="F129">
        <f t="shared" si="1"/>
        <v>2795.07</v>
      </c>
      <c r="G129">
        <v>2.7950699999999999</v>
      </c>
      <c r="H129">
        <v>2000</v>
      </c>
      <c r="I129">
        <v>1</v>
      </c>
    </row>
    <row r="130" spans="1:9" ht="14.25" customHeight="1" x14ac:dyDescent="0.3">
      <c r="A130" t="s">
        <v>207</v>
      </c>
      <c r="B130" t="s">
        <v>254</v>
      </c>
      <c r="C130" t="s">
        <v>255</v>
      </c>
      <c r="D130" t="s">
        <v>256</v>
      </c>
      <c r="E130" t="s">
        <v>12</v>
      </c>
      <c r="F130">
        <f t="shared" si="1"/>
        <v>10801.710999999999</v>
      </c>
      <c r="G130">
        <v>10.801710999999999</v>
      </c>
      <c r="H130">
        <v>2000</v>
      </c>
      <c r="I130">
        <v>1</v>
      </c>
    </row>
    <row r="131" spans="1:9" ht="14.25" customHeight="1" x14ac:dyDescent="0.3">
      <c r="A131" t="s">
        <v>207</v>
      </c>
      <c r="B131" t="s">
        <v>257</v>
      </c>
      <c r="C131" t="s">
        <v>217</v>
      </c>
      <c r="D131" t="s">
        <v>258</v>
      </c>
      <c r="E131" t="s">
        <v>12</v>
      </c>
      <c r="F131">
        <f t="shared" si="1"/>
        <v>4010.67</v>
      </c>
      <c r="G131">
        <v>4.0106700000000002</v>
      </c>
      <c r="H131">
        <v>2000</v>
      </c>
      <c r="I131">
        <v>1</v>
      </c>
    </row>
    <row r="132" spans="1:9" ht="14.25" customHeight="1" x14ac:dyDescent="0.3">
      <c r="A132" t="s">
        <v>207</v>
      </c>
      <c r="B132" t="s">
        <v>259</v>
      </c>
      <c r="C132" t="s">
        <v>260</v>
      </c>
      <c r="D132" t="s">
        <v>216</v>
      </c>
      <c r="E132" t="s">
        <v>12</v>
      </c>
      <c r="F132">
        <f t="shared" si="1"/>
        <v>10366.068000000001</v>
      </c>
      <c r="G132">
        <v>10.366068</v>
      </c>
      <c r="H132">
        <v>2000</v>
      </c>
      <c r="I132">
        <v>1</v>
      </c>
    </row>
    <row r="133" spans="1:9" ht="14.25" customHeight="1" x14ac:dyDescent="0.3">
      <c r="A133" t="s">
        <v>207</v>
      </c>
      <c r="B133" t="s">
        <v>261</v>
      </c>
      <c r="C133" t="s">
        <v>208</v>
      </c>
      <c r="D133" t="s">
        <v>262</v>
      </c>
      <c r="E133" t="s">
        <v>12</v>
      </c>
      <c r="F133">
        <f t="shared" si="1"/>
        <v>16721.705000000002</v>
      </c>
      <c r="G133">
        <v>16.721705</v>
      </c>
      <c r="H133">
        <v>2000</v>
      </c>
      <c r="I133">
        <v>1</v>
      </c>
    </row>
    <row r="134" spans="1:9" ht="14.25" customHeight="1" x14ac:dyDescent="0.3">
      <c r="A134" t="s">
        <v>207</v>
      </c>
      <c r="B134" t="s">
        <v>263</v>
      </c>
      <c r="C134" t="s">
        <v>213</v>
      </c>
      <c r="D134" t="s">
        <v>84</v>
      </c>
      <c r="E134" t="s">
        <v>12</v>
      </c>
      <c r="F134">
        <f t="shared" si="1"/>
        <v>8137.5919999999996</v>
      </c>
      <c r="G134">
        <v>8.1375919999999997</v>
      </c>
      <c r="H134">
        <v>2000</v>
      </c>
      <c r="I134">
        <v>1</v>
      </c>
    </row>
    <row r="135" spans="1:9" ht="14.25" customHeight="1" x14ac:dyDescent="0.3">
      <c r="A135" t="s">
        <v>207</v>
      </c>
      <c r="B135" t="s">
        <v>264</v>
      </c>
      <c r="C135" t="s">
        <v>265</v>
      </c>
      <c r="D135" t="s">
        <v>266</v>
      </c>
      <c r="E135" t="s">
        <v>12</v>
      </c>
      <c r="F135">
        <f t="shared" si="1"/>
        <v>5568.4480000000003</v>
      </c>
      <c r="G135">
        <v>5.5684480000000001</v>
      </c>
      <c r="H135">
        <v>2000</v>
      </c>
      <c r="I135">
        <v>1</v>
      </c>
    </row>
    <row r="136" spans="1:9" ht="14.25" customHeight="1" x14ac:dyDescent="0.3">
      <c r="A136" t="s">
        <v>207</v>
      </c>
      <c r="B136" t="s">
        <v>267</v>
      </c>
      <c r="C136" t="s">
        <v>225</v>
      </c>
      <c r="D136" t="s">
        <v>10</v>
      </c>
      <c r="E136" t="s">
        <v>12</v>
      </c>
      <c r="F136">
        <f t="shared" si="1"/>
        <v>20775.459000000003</v>
      </c>
      <c r="G136">
        <v>20.775459000000001</v>
      </c>
      <c r="H136">
        <v>2000</v>
      </c>
      <c r="I136">
        <v>1</v>
      </c>
    </row>
    <row r="137" spans="1:9" ht="14.25" customHeight="1" x14ac:dyDescent="0.3">
      <c r="A137" t="s">
        <v>207</v>
      </c>
      <c r="B137" t="s">
        <v>268</v>
      </c>
      <c r="C137" t="s">
        <v>269</v>
      </c>
      <c r="D137" t="s">
        <v>82</v>
      </c>
      <c r="E137" t="s">
        <v>12</v>
      </c>
      <c r="F137">
        <f t="shared" si="1"/>
        <v>18421.18</v>
      </c>
      <c r="G137">
        <v>18.42118</v>
      </c>
      <c r="H137">
        <v>2000</v>
      </c>
      <c r="I137">
        <v>1</v>
      </c>
    </row>
    <row r="138" spans="1:9" ht="14.25" customHeight="1" x14ac:dyDescent="0.3">
      <c r="A138" t="s">
        <v>207</v>
      </c>
      <c r="B138" t="s">
        <v>270</v>
      </c>
      <c r="C138" t="s">
        <v>271</v>
      </c>
      <c r="D138" t="s">
        <v>80</v>
      </c>
      <c r="E138" t="s">
        <v>12</v>
      </c>
      <c r="F138">
        <f t="shared" si="1"/>
        <v>7450.3830000000007</v>
      </c>
      <c r="G138">
        <v>7.4503830000000004</v>
      </c>
      <c r="H138">
        <v>2000</v>
      </c>
      <c r="I138">
        <v>1</v>
      </c>
    </row>
    <row r="139" spans="1:9" ht="14.25" customHeight="1" x14ac:dyDescent="0.3">
      <c r="A139" t="s">
        <v>207</v>
      </c>
      <c r="B139" t="s">
        <v>272</v>
      </c>
      <c r="C139" t="s">
        <v>237</v>
      </c>
      <c r="D139" t="s">
        <v>105</v>
      </c>
      <c r="E139" t="s">
        <v>12</v>
      </c>
      <c r="F139">
        <f t="shared" si="1"/>
        <v>12319.267</v>
      </c>
      <c r="G139">
        <v>12.319267</v>
      </c>
      <c r="H139">
        <v>2000</v>
      </c>
      <c r="I139">
        <v>1</v>
      </c>
    </row>
    <row r="140" spans="1:9" ht="14.25" customHeight="1" x14ac:dyDescent="0.3">
      <c r="A140" t="s">
        <v>207</v>
      </c>
      <c r="B140" t="s">
        <v>273</v>
      </c>
      <c r="C140" t="s">
        <v>255</v>
      </c>
      <c r="D140" t="s">
        <v>266</v>
      </c>
      <c r="E140" t="s">
        <v>12</v>
      </c>
      <c r="F140">
        <f t="shared" si="1"/>
        <v>7970.8249999999998</v>
      </c>
      <c r="G140">
        <v>7.9708249999999996</v>
      </c>
      <c r="H140">
        <v>2000</v>
      </c>
      <c r="I140">
        <v>1</v>
      </c>
    </row>
    <row r="141" spans="1:9" ht="14.25" customHeight="1" x14ac:dyDescent="0.3">
      <c r="A141" t="s">
        <v>207</v>
      </c>
      <c r="B141" t="s">
        <v>274</v>
      </c>
      <c r="C141" t="s">
        <v>275</v>
      </c>
      <c r="D141" t="s">
        <v>35</v>
      </c>
      <c r="E141" t="s">
        <v>12</v>
      </c>
      <c r="F141">
        <f t="shared" si="1"/>
        <v>35965.892</v>
      </c>
      <c r="G141">
        <v>35.965891999999997</v>
      </c>
      <c r="H141">
        <v>2000</v>
      </c>
      <c r="I141">
        <v>1</v>
      </c>
    </row>
    <row r="142" spans="1:9" ht="14.25" customHeight="1" x14ac:dyDescent="0.3">
      <c r="A142" t="s">
        <v>207</v>
      </c>
      <c r="B142" t="s">
        <v>276</v>
      </c>
      <c r="C142" t="s">
        <v>277</v>
      </c>
      <c r="D142" t="s">
        <v>278</v>
      </c>
      <c r="E142" t="s">
        <v>12</v>
      </c>
      <c r="F142">
        <f t="shared" si="1"/>
        <v>36165.215000000004</v>
      </c>
      <c r="G142">
        <v>36.165215000000003</v>
      </c>
      <c r="H142">
        <v>2000</v>
      </c>
      <c r="I142">
        <v>1</v>
      </c>
    </row>
    <row r="143" spans="1:9" ht="14.25" customHeight="1" x14ac:dyDescent="0.3">
      <c r="A143" t="s">
        <v>207</v>
      </c>
      <c r="B143" t="s">
        <v>279</v>
      </c>
      <c r="C143" t="s">
        <v>280</v>
      </c>
      <c r="D143" t="s">
        <v>281</v>
      </c>
      <c r="E143" t="s">
        <v>12</v>
      </c>
      <c r="F143">
        <f t="shared" si="1"/>
        <v>29800.925999999999</v>
      </c>
      <c r="G143">
        <v>29.800926</v>
      </c>
      <c r="H143">
        <v>2000</v>
      </c>
      <c r="I143">
        <v>1</v>
      </c>
    </row>
    <row r="144" spans="1:9" ht="14.25" customHeight="1" x14ac:dyDescent="0.3">
      <c r="A144" t="s">
        <v>207</v>
      </c>
      <c r="B144" t="s">
        <v>282</v>
      </c>
      <c r="C144" t="s">
        <v>235</v>
      </c>
      <c r="D144" t="s">
        <v>58</v>
      </c>
      <c r="E144" t="s">
        <v>12</v>
      </c>
      <c r="F144">
        <f t="shared" si="1"/>
        <v>26353.776000000002</v>
      </c>
      <c r="G144">
        <v>26.353776</v>
      </c>
      <c r="H144">
        <v>2000</v>
      </c>
      <c r="I144">
        <v>1</v>
      </c>
    </row>
    <row r="145" spans="1:9" ht="14.25" customHeight="1" x14ac:dyDescent="0.3">
      <c r="A145" t="s">
        <v>207</v>
      </c>
      <c r="B145" t="s">
        <v>283</v>
      </c>
      <c r="C145" t="s">
        <v>284</v>
      </c>
      <c r="D145" t="s">
        <v>285</v>
      </c>
      <c r="E145" t="s">
        <v>12</v>
      </c>
      <c r="F145">
        <f t="shared" si="1"/>
        <v>38698.813000000002</v>
      </c>
      <c r="G145">
        <v>38.698813000000001</v>
      </c>
      <c r="H145">
        <v>2000</v>
      </c>
      <c r="I145">
        <v>1</v>
      </c>
    </row>
    <row r="146" spans="1:9" ht="14.25" customHeight="1" x14ac:dyDescent="0.3">
      <c r="A146" t="s">
        <v>207</v>
      </c>
      <c r="B146" t="s">
        <v>286</v>
      </c>
      <c r="C146" t="s">
        <v>35</v>
      </c>
      <c r="D146" t="s">
        <v>42</v>
      </c>
      <c r="E146" t="s">
        <v>12</v>
      </c>
      <c r="F146">
        <f t="shared" si="1"/>
        <v>37525.46</v>
      </c>
      <c r="G146">
        <v>37.525460000000002</v>
      </c>
      <c r="H146">
        <v>2000</v>
      </c>
      <c r="I146">
        <v>1</v>
      </c>
    </row>
    <row r="147" spans="1:9" ht="14.25" customHeight="1" x14ac:dyDescent="0.3">
      <c r="A147" t="s">
        <v>207</v>
      </c>
      <c r="B147" t="s">
        <v>287</v>
      </c>
      <c r="C147" t="s">
        <v>256</v>
      </c>
      <c r="D147" t="s">
        <v>284</v>
      </c>
      <c r="E147" t="s">
        <v>12</v>
      </c>
      <c r="F147">
        <f t="shared" si="1"/>
        <v>44498.966</v>
      </c>
      <c r="G147">
        <v>44.498966000000003</v>
      </c>
      <c r="H147">
        <v>2000</v>
      </c>
      <c r="I147">
        <v>1</v>
      </c>
    </row>
    <row r="148" spans="1:9" ht="14.25" customHeight="1" x14ac:dyDescent="0.3">
      <c r="A148" t="s">
        <v>207</v>
      </c>
      <c r="B148" t="s">
        <v>288</v>
      </c>
      <c r="C148" t="s">
        <v>262</v>
      </c>
      <c r="D148" t="s">
        <v>35</v>
      </c>
      <c r="E148" t="s">
        <v>12</v>
      </c>
      <c r="F148">
        <f t="shared" si="1"/>
        <v>9153.6930000000011</v>
      </c>
      <c r="G148">
        <v>9.1536930000000005</v>
      </c>
      <c r="H148">
        <v>2000</v>
      </c>
      <c r="I148">
        <v>1</v>
      </c>
    </row>
    <row r="149" spans="1:9" ht="14.25" customHeight="1" x14ac:dyDescent="0.3">
      <c r="A149" t="s">
        <v>207</v>
      </c>
      <c r="B149" t="s">
        <v>289</v>
      </c>
      <c r="C149" t="s">
        <v>275</v>
      </c>
      <c r="D149" t="s">
        <v>290</v>
      </c>
      <c r="E149" t="s">
        <v>12</v>
      </c>
      <c r="F149">
        <f t="shared" si="1"/>
        <v>34000.326999999997</v>
      </c>
      <c r="G149">
        <v>34.000326999999999</v>
      </c>
      <c r="H149">
        <v>2000</v>
      </c>
      <c r="I149">
        <v>1</v>
      </c>
    </row>
    <row r="150" spans="1:9" ht="14.25" customHeight="1" x14ac:dyDescent="0.3">
      <c r="A150" t="s">
        <v>207</v>
      </c>
      <c r="B150" t="s">
        <v>291</v>
      </c>
      <c r="C150" t="s">
        <v>290</v>
      </c>
      <c r="D150" t="s">
        <v>37</v>
      </c>
      <c r="E150" t="s">
        <v>12</v>
      </c>
      <c r="F150">
        <f t="shared" si="1"/>
        <v>15621.406999999999</v>
      </c>
      <c r="G150">
        <v>15.621407</v>
      </c>
      <c r="H150">
        <v>2000</v>
      </c>
      <c r="I150">
        <v>1</v>
      </c>
    </row>
    <row r="151" spans="1:9" ht="14.25" customHeight="1" x14ac:dyDescent="0.3">
      <c r="A151" t="s">
        <v>207</v>
      </c>
      <c r="B151" t="s">
        <v>292</v>
      </c>
      <c r="C151" t="s">
        <v>293</v>
      </c>
      <c r="D151" t="s">
        <v>231</v>
      </c>
      <c r="E151" t="s">
        <v>12</v>
      </c>
      <c r="F151">
        <f t="shared" si="1"/>
        <v>19079.723999999998</v>
      </c>
      <c r="G151">
        <v>19.079723999999999</v>
      </c>
      <c r="H151">
        <v>2000</v>
      </c>
      <c r="I151">
        <v>1</v>
      </c>
    </row>
    <row r="152" spans="1:9" ht="14.25" customHeight="1" x14ac:dyDescent="0.3">
      <c r="A152" t="s">
        <v>207</v>
      </c>
      <c r="B152" t="s">
        <v>294</v>
      </c>
      <c r="C152" t="s">
        <v>231</v>
      </c>
      <c r="D152" t="s">
        <v>295</v>
      </c>
      <c r="E152" t="s">
        <v>12</v>
      </c>
      <c r="F152">
        <f t="shared" si="1"/>
        <v>51242.122000000003</v>
      </c>
      <c r="G152">
        <v>51.242122000000002</v>
      </c>
      <c r="H152">
        <v>2000</v>
      </c>
      <c r="I152">
        <v>1</v>
      </c>
    </row>
    <row r="153" spans="1:9" ht="14.25" customHeight="1" x14ac:dyDescent="0.3">
      <c r="A153" t="s">
        <v>207</v>
      </c>
      <c r="B153" t="s">
        <v>296</v>
      </c>
      <c r="C153" t="s">
        <v>211</v>
      </c>
      <c r="D153" t="s">
        <v>18</v>
      </c>
      <c r="E153" t="s">
        <v>12</v>
      </c>
      <c r="F153">
        <f t="shared" si="1"/>
        <v>59093.830999999998</v>
      </c>
      <c r="G153">
        <v>59.093831000000002</v>
      </c>
      <c r="H153">
        <v>2000</v>
      </c>
      <c r="I153">
        <v>1</v>
      </c>
    </row>
    <row r="154" spans="1:9" ht="14.25" customHeight="1" x14ac:dyDescent="0.3">
      <c r="A154" t="s">
        <v>207</v>
      </c>
      <c r="B154" t="s">
        <v>297</v>
      </c>
      <c r="C154" t="s">
        <v>295</v>
      </c>
      <c r="D154" t="s">
        <v>298</v>
      </c>
      <c r="E154" t="s">
        <v>12</v>
      </c>
      <c r="F154">
        <f t="shared" si="1"/>
        <v>43943.781999999999</v>
      </c>
      <c r="G154">
        <v>43.943781999999999</v>
      </c>
      <c r="H154">
        <v>2000</v>
      </c>
      <c r="I154">
        <v>1</v>
      </c>
    </row>
    <row r="155" spans="1:9" ht="14.25" customHeight="1" x14ac:dyDescent="0.3">
      <c r="A155" t="s">
        <v>207</v>
      </c>
      <c r="B155" t="s">
        <v>299</v>
      </c>
      <c r="C155" t="s">
        <v>239</v>
      </c>
      <c r="D155" t="s">
        <v>271</v>
      </c>
      <c r="E155" t="s">
        <v>12</v>
      </c>
      <c r="F155">
        <f t="shared" si="1"/>
        <v>42787.135999999999</v>
      </c>
      <c r="G155">
        <v>42.787135999999997</v>
      </c>
      <c r="H155">
        <v>2000</v>
      </c>
      <c r="I155">
        <v>1</v>
      </c>
    </row>
    <row r="156" spans="1:9" ht="14.25" customHeight="1" x14ac:dyDescent="0.3">
      <c r="A156" t="s">
        <v>207</v>
      </c>
      <c r="B156" t="s">
        <v>300</v>
      </c>
      <c r="C156" t="s">
        <v>249</v>
      </c>
      <c r="D156" t="s">
        <v>301</v>
      </c>
      <c r="E156" t="s">
        <v>12</v>
      </c>
      <c r="F156">
        <f t="shared" si="1"/>
        <v>49277.091</v>
      </c>
      <c r="G156">
        <v>49.277090999999999</v>
      </c>
      <c r="H156">
        <v>2000</v>
      </c>
      <c r="I156">
        <v>1</v>
      </c>
    </row>
    <row r="157" spans="1:9" ht="14.25" customHeight="1" x14ac:dyDescent="0.3">
      <c r="A157" t="s">
        <v>207</v>
      </c>
      <c r="B157" t="s">
        <v>302</v>
      </c>
      <c r="C157" t="s">
        <v>234</v>
      </c>
      <c r="D157" t="s">
        <v>53</v>
      </c>
      <c r="E157" t="s">
        <v>12</v>
      </c>
      <c r="F157">
        <f t="shared" si="1"/>
        <v>31737.243999999999</v>
      </c>
      <c r="G157">
        <v>31.737244</v>
      </c>
      <c r="H157">
        <v>2000</v>
      </c>
      <c r="I157">
        <v>1</v>
      </c>
    </row>
    <row r="158" spans="1:9" ht="14.25" customHeight="1" x14ac:dyDescent="0.3">
      <c r="A158" t="s">
        <v>207</v>
      </c>
      <c r="B158" t="s">
        <v>303</v>
      </c>
      <c r="C158" t="s">
        <v>304</v>
      </c>
      <c r="D158" t="s">
        <v>74</v>
      </c>
      <c r="E158" t="s">
        <v>12</v>
      </c>
      <c r="F158">
        <f t="shared" si="1"/>
        <v>54959.443999999996</v>
      </c>
      <c r="G158">
        <v>54.959443999999998</v>
      </c>
      <c r="H158">
        <v>2000</v>
      </c>
      <c r="I158">
        <v>1</v>
      </c>
    </row>
    <row r="159" spans="1:9" ht="14.25" customHeight="1" x14ac:dyDescent="0.3">
      <c r="A159" t="s">
        <v>207</v>
      </c>
      <c r="B159" t="s">
        <v>305</v>
      </c>
      <c r="C159" t="s">
        <v>306</v>
      </c>
      <c r="D159" t="s">
        <v>307</v>
      </c>
      <c r="E159" t="s">
        <v>12</v>
      </c>
      <c r="F159">
        <f t="shared" si="1"/>
        <v>83730.524999999994</v>
      </c>
      <c r="G159">
        <v>83.730525</v>
      </c>
      <c r="H159">
        <v>2000</v>
      </c>
      <c r="I159">
        <v>1</v>
      </c>
    </row>
    <row r="160" spans="1:9" ht="14.25" customHeight="1" x14ac:dyDescent="0.3">
      <c r="A160" t="s">
        <v>207</v>
      </c>
      <c r="B160" t="s">
        <v>308</v>
      </c>
      <c r="C160" t="s">
        <v>234</v>
      </c>
      <c r="D160" t="s">
        <v>55</v>
      </c>
      <c r="E160" t="s">
        <v>12</v>
      </c>
      <c r="F160">
        <f t="shared" si="1"/>
        <v>56418.648000000001</v>
      </c>
      <c r="G160">
        <v>56.418647999999997</v>
      </c>
      <c r="H160">
        <v>2000</v>
      </c>
      <c r="I160">
        <v>1</v>
      </c>
    </row>
    <row r="161" spans="1:9" ht="14.25" customHeight="1" x14ac:dyDescent="0.3">
      <c r="A161" t="s">
        <v>207</v>
      </c>
      <c r="B161" t="s">
        <v>309</v>
      </c>
      <c r="C161" t="s">
        <v>310</v>
      </c>
      <c r="D161" t="s">
        <v>18</v>
      </c>
      <c r="E161" t="s">
        <v>12</v>
      </c>
      <c r="F161">
        <f t="shared" si="1"/>
        <v>13072.547999999999</v>
      </c>
      <c r="G161">
        <v>13.072547999999999</v>
      </c>
      <c r="H161">
        <v>2000</v>
      </c>
      <c r="I161">
        <v>1</v>
      </c>
    </row>
    <row r="162" spans="1:9" ht="14.25" customHeight="1" x14ac:dyDescent="0.3">
      <c r="A162" t="s">
        <v>207</v>
      </c>
      <c r="B162" t="s">
        <v>311</v>
      </c>
      <c r="C162" t="s">
        <v>47</v>
      </c>
      <c r="D162" t="s">
        <v>53</v>
      </c>
      <c r="E162" t="s">
        <v>12</v>
      </c>
      <c r="F162">
        <f t="shared" si="1"/>
        <v>72195.437999999995</v>
      </c>
      <c r="G162">
        <v>72.195437999999996</v>
      </c>
      <c r="H162">
        <v>2000</v>
      </c>
      <c r="I162">
        <v>1</v>
      </c>
    </row>
    <row r="163" spans="1:9" ht="14.25" customHeight="1" x14ac:dyDescent="0.3">
      <c r="A163" t="s">
        <v>207</v>
      </c>
      <c r="B163" t="s">
        <v>312</v>
      </c>
      <c r="C163" t="s">
        <v>211</v>
      </c>
      <c r="D163" t="s">
        <v>20</v>
      </c>
      <c r="E163" t="s">
        <v>12</v>
      </c>
      <c r="F163">
        <f t="shared" si="1"/>
        <v>12645.518</v>
      </c>
      <c r="G163">
        <v>12.645517999999999</v>
      </c>
      <c r="H163">
        <v>2000</v>
      </c>
      <c r="I163">
        <v>1</v>
      </c>
    </row>
    <row r="164" spans="1:9" ht="14.25" customHeight="1" x14ac:dyDescent="0.3">
      <c r="A164" t="s">
        <v>207</v>
      </c>
      <c r="B164" t="s">
        <v>313</v>
      </c>
      <c r="C164" t="s">
        <v>314</v>
      </c>
      <c r="D164" t="s">
        <v>86</v>
      </c>
      <c r="E164" t="s">
        <v>12</v>
      </c>
      <c r="F164">
        <f t="shared" si="1"/>
        <v>28448.066000000003</v>
      </c>
      <c r="G164">
        <v>28.448066000000001</v>
      </c>
      <c r="H164">
        <v>2000</v>
      </c>
      <c r="I164">
        <v>1</v>
      </c>
    </row>
    <row r="165" spans="1:9" ht="14.25" customHeight="1" x14ac:dyDescent="0.3">
      <c r="A165" t="s">
        <v>207</v>
      </c>
      <c r="B165" t="s">
        <v>315</v>
      </c>
      <c r="C165" t="s">
        <v>316</v>
      </c>
      <c r="D165" t="s">
        <v>10</v>
      </c>
      <c r="E165" t="s">
        <v>12</v>
      </c>
      <c r="F165">
        <f t="shared" si="1"/>
        <v>93205.724000000002</v>
      </c>
      <c r="G165">
        <v>93.205724000000004</v>
      </c>
      <c r="H165">
        <v>2000</v>
      </c>
      <c r="I165">
        <v>1</v>
      </c>
    </row>
    <row r="166" spans="1:9" ht="14.25" customHeight="1" x14ac:dyDescent="0.3">
      <c r="A166" t="s">
        <v>207</v>
      </c>
      <c r="B166" t="s">
        <v>317</v>
      </c>
      <c r="C166" t="s">
        <v>258</v>
      </c>
      <c r="D166" t="s">
        <v>58</v>
      </c>
      <c r="E166" t="s">
        <v>12</v>
      </c>
      <c r="F166">
        <f t="shared" si="1"/>
        <v>55339.852999999996</v>
      </c>
      <c r="G166">
        <v>55.339852999999998</v>
      </c>
      <c r="H166">
        <v>2000</v>
      </c>
      <c r="I166">
        <v>1</v>
      </c>
    </row>
    <row r="167" spans="1:9" ht="14.25" customHeight="1" x14ac:dyDescent="0.3">
      <c r="A167" t="s">
        <v>207</v>
      </c>
      <c r="B167" t="s">
        <v>318</v>
      </c>
      <c r="C167" t="s">
        <v>271</v>
      </c>
      <c r="D167" t="s">
        <v>278</v>
      </c>
      <c r="E167" t="s">
        <v>12</v>
      </c>
      <c r="F167">
        <f t="shared" si="1"/>
        <v>58387.928999999996</v>
      </c>
      <c r="G167">
        <v>58.387929</v>
      </c>
      <c r="H167">
        <v>2000</v>
      </c>
      <c r="I167">
        <v>1</v>
      </c>
    </row>
    <row r="168" spans="1:9" ht="14.25" customHeight="1" x14ac:dyDescent="0.3">
      <c r="A168" t="s">
        <v>207</v>
      </c>
      <c r="B168" t="s">
        <v>319</v>
      </c>
      <c r="C168" t="s">
        <v>227</v>
      </c>
      <c r="D168" t="s">
        <v>320</v>
      </c>
      <c r="E168" t="s">
        <v>12</v>
      </c>
      <c r="F168">
        <f t="shared" si="1"/>
        <v>94962.898000000001</v>
      </c>
      <c r="G168">
        <v>94.962897999999996</v>
      </c>
      <c r="H168">
        <v>2000</v>
      </c>
      <c r="I168">
        <v>1</v>
      </c>
    </row>
    <row r="169" spans="1:9" ht="14.25" customHeight="1" x14ac:dyDescent="0.3">
      <c r="A169" t="s">
        <v>207</v>
      </c>
      <c r="B169" t="s">
        <v>321</v>
      </c>
      <c r="C169" t="s">
        <v>89</v>
      </c>
      <c r="D169" t="s">
        <v>92</v>
      </c>
      <c r="E169" t="s">
        <v>12</v>
      </c>
      <c r="F169">
        <f t="shared" si="1"/>
        <v>94081.766000000003</v>
      </c>
      <c r="G169">
        <v>94.081766000000002</v>
      </c>
      <c r="H169">
        <v>2000</v>
      </c>
      <c r="I169">
        <v>1</v>
      </c>
    </row>
    <row r="170" spans="1:9" ht="14.25" customHeight="1" x14ac:dyDescent="0.3">
      <c r="A170" t="s">
        <v>207</v>
      </c>
      <c r="B170" t="s">
        <v>322</v>
      </c>
      <c r="C170" t="s">
        <v>242</v>
      </c>
      <c r="D170" t="s">
        <v>280</v>
      </c>
      <c r="E170" t="s">
        <v>12</v>
      </c>
      <c r="F170">
        <f t="shared" si="1"/>
        <v>80165.312000000005</v>
      </c>
      <c r="G170">
        <v>80.165312</v>
      </c>
      <c r="H170">
        <v>2000</v>
      </c>
      <c r="I170">
        <v>1</v>
      </c>
    </row>
    <row r="171" spans="1:9" ht="14.25" customHeight="1" x14ac:dyDescent="0.3">
      <c r="A171" t="s">
        <v>207</v>
      </c>
      <c r="B171" t="s">
        <v>323</v>
      </c>
      <c r="C171" t="s">
        <v>58</v>
      </c>
      <c r="D171" t="s">
        <v>69</v>
      </c>
      <c r="E171" t="s">
        <v>12</v>
      </c>
      <c r="F171">
        <f t="shared" si="1"/>
        <v>95351.26</v>
      </c>
      <c r="G171">
        <v>95.351259999999996</v>
      </c>
      <c r="H171">
        <v>2000</v>
      </c>
      <c r="I171">
        <v>1</v>
      </c>
    </row>
    <row r="172" spans="1:9" ht="14.25" customHeight="1" x14ac:dyDescent="0.3">
      <c r="A172" t="s">
        <v>207</v>
      </c>
      <c r="B172" t="s">
        <v>324</v>
      </c>
      <c r="C172" t="s">
        <v>89</v>
      </c>
      <c r="D172" t="s">
        <v>77</v>
      </c>
      <c r="E172" t="s">
        <v>12</v>
      </c>
      <c r="F172">
        <f t="shared" si="1"/>
        <v>108355.62299999999</v>
      </c>
      <c r="G172">
        <v>108.35562299999999</v>
      </c>
      <c r="H172">
        <v>2000</v>
      </c>
      <c r="I172">
        <v>1</v>
      </c>
    </row>
    <row r="173" spans="1:9" ht="14.25" customHeight="1" x14ac:dyDescent="0.3">
      <c r="A173" t="s">
        <v>207</v>
      </c>
      <c r="B173" t="s">
        <v>325</v>
      </c>
      <c r="C173" t="s">
        <v>219</v>
      </c>
      <c r="D173" t="s">
        <v>301</v>
      </c>
      <c r="E173" t="s">
        <v>12</v>
      </c>
      <c r="F173">
        <f t="shared" si="1"/>
        <v>68769.985000000001</v>
      </c>
      <c r="G173">
        <v>68.769985000000005</v>
      </c>
      <c r="H173">
        <v>2000</v>
      </c>
      <c r="I173">
        <v>1</v>
      </c>
    </row>
    <row r="174" spans="1:9" ht="14.25" customHeight="1" x14ac:dyDescent="0.3">
      <c r="A174" t="s">
        <v>207</v>
      </c>
      <c r="B174" t="s">
        <v>326</v>
      </c>
      <c r="C174" t="s">
        <v>232</v>
      </c>
      <c r="D174" t="s">
        <v>290</v>
      </c>
      <c r="E174" t="s">
        <v>12</v>
      </c>
      <c r="F174">
        <f t="shared" si="1"/>
        <v>120217.447</v>
      </c>
      <c r="G174">
        <v>120.21744700000001</v>
      </c>
      <c r="H174">
        <v>2000</v>
      </c>
      <c r="I174">
        <v>1</v>
      </c>
    </row>
    <row r="175" spans="1:9" ht="14.25" customHeight="1" x14ac:dyDescent="0.3">
      <c r="A175" t="s">
        <v>207</v>
      </c>
      <c r="B175" t="s">
        <v>327</v>
      </c>
      <c r="C175" t="s">
        <v>265</v>
      </c>
      <c r="D175" t="s">
        <v>260</v>
      </c>
      <c r="E175" t="s">
        <v>12</v>
      </c>
      <c r="F175">
        <f t="shared" si="1"/>
        <v>30681.276000000002</v>
      </c>
      <c r="G175">
        <v>30.681276</v>
      </c>
      <c r="H175">
        <v>2000</v>
      </c>
      <c r="I175">
        <v>1</v>
      </c>
    </row>
    <row r="176" spans="1:9" ht="14.25" customHeight="1" x14ac:dyDescent="0.3">
      <c r="A176" t="s">
        <v>207</v>
      </c>
      <c r="B176" t="s">
        <v>328</v>
      </c>
      <c r="C176" t="s">
        <v>278</v>
      </c>
      <c r="D176" t="s">
        <v>92</v>
      </c>
      <c r="E176" t="s">
        <v>12</v>
      </c>
      <c r="F176">
        <f t="shared" si="1"/>
        <v>42189.366999999998</v>
      </c>
      <c r="G176">
        <v>42.189366999999997</v>
      </c>
      <c r="H176">
        <v>2000</v>
      </c>
      <c r="I176">
        <v>1</v>
      </c>
    </row>
    <row r="177" spans="1:9" ht="14.25" customHeight="1" x14ac:dyDescent="0.3">
      <c r="A177" t="s">
        <v>207</v>
      </c>
      <c r="B177" t="s">
        <v>329</v>
      </c>
      <c r="C177" t="s">
        <v>256</v>
      </c>
      <c r="D177" t="s">
        <v>33</v>
      </c>
      <c r="E177" t="s">
        <v>12</v>
      </c>
      <c r="F177">
        <f t="shared" si="1"/>
        <v>40877.274999999994</v>
      </c>
      <c r="G177">
        <v>40.877274999999997</v>
      </c>
      <c r="H177">
        <v>2000</v>
      </c>
      <c r="I177">
        <v>1</v>
      </c>
    </row>
    <row r="178" spans="1:9" ht="14.25" customHeight="1" x14ac:dyDescent="0.3">
      <c r="A178" t="s">
        <v>207</v>
      </c>
      <c r="B178" t="s">
        <v>330</v>
      </c>
      <c r="C178" t="s">
        <v>320</v>
      </c>
      <c r="D178" t="s">
        <v>307</v>
      </c>
      <c r="E178" t="s">
        <v>12</v>
      </c>
      <c r="F178">
        <f t="shared" si="1"/>
        <v>150197.37900000002</v>
      </c>
      <c r="G178">
        <v>150.19737900000001</v>
      </c>
      <c r="H178">
        <v>2000</v>
      </c>
      <c r="I178">
        <v>1</v>
      </c>
    </row>
    <row r="179" spans="1:9" ht="14.25" customHeight="1" x14ac:dyDescent="0.3">
      <c r="A179" t="s">
        <v>207</v>
      </c>
      <c r="B179" t="s">
        <v>331</v>
      </c>
      <c r="C179" t="s">
        <v>224</v>
      </c>
      <c r="D179" t="s">
        <v>11</v>
      </c>
      <c r="E179" t="s">
        <v>12</v>
      </c>
      <c r="F179">
        <f t="shared" si="1"/>
        <v>169339.40299999999</v>
      </c>
      <c r="G179">
        <v>169.339403</v>
      </c>
      <c r="H179">
        <v>2000</v>
      </c>
      <c r="I179">
        <v>1</v>
      </c>
    </row>
    <row r="180" spans="1:9" ht="14.25" customHeight="1" x14ac:dyDescent="0.3">
      <c r="A180" t="s">
        <v>207</v>
      </c>
      <c r="B180" t="s">
        <v>332</v>
      </c>
      <c r="C180" t="s">
        <v>285</v>
      </c>
      <c r="D180" t="s">
        <v>31</v>
      </c>
      <c r="E180" t="s">
        <v>12</v>
      </c>
      <c r="F180">
        <f t="shared" si="1"/>
        <v>135237.06400000001</v>
      </c>
      <c r="G180">
        <v>135.237064</v>
      </c>
      <c r="H180">
        <v>2000</v>
      </c>
      <c r="I180">
        <v>1</v>
      </c>
    </row>
    <row r="181" spans="1:9" ht="14.25" customHeight="1" x14ac:dyDescent="0.3">
      <c r="A181" t="s">
        <v>207</v>
      </c>
      <c r="B181" t="s">
        <v>333</v>
      </c>
      <c r="C181" t="s">
        <v>293</v>
      </c>
      <c r="D181" t="s">
        <v>334</v>
      </c>
      <c r="E181" t="s">
        <v>12</v>
      </c>
      <c r="F181">
        <f t="shared" si="1"/>
        <v>25111.851000000002</v>
      </c>
      <c r="G181">
        <v>25.111851000000001</v>
      </c>
      <c r="H181">
        <v>2000</v>
      </c>
      <c r="I181">
        <v>1</v>
      </c>
    </row>
    <row r="182" spans="1:9" ht="14.25" customHeight="1" x14ac:dyDescent="0.3">
      <c r="A182" t="s">
        <v>207</v>
      </c>
      <c r="B182" t="s">
        <v>335</v>
      </c>
      <c r="C182" t="s">
        <v>301</v>
      </c>
      <c r="D182" t="s">
        <v>86</v>
      </c>
      <c r="E182" t="s">
        <v>12</v>
      </c>
      <c r="F182">
        <f t="shared" si="1"/>
        <v>173407.36499999999</v>
      </c>
      <c r="G182">
        <v>173.407365</v>
      </c>
      <c r="H182">
        <v>2000</v>
      </c>
      <c r="I182">
        <v>1</v>
      </c>
    </row>
    <row r="183" spans="1:9" ht="14.25" customHeight="1" x14ac:dyDescent="0.3">
      <c r="A183" t="s">
        <v>207</v>
      </c>
      <c r="B183" t="s">
        <v>336</v>
      </c>
      <c r="C183" t="s">
        <v>277</v>
      </c>
      <c r="D183" t="s">
        <v>337</v>
      </c>
      <c r="E183" t="s">
        <v>12</v>
      </c>
      <c r="F183">
        <f t="shared" si="1"/>
        <v>181451.93599999999</v>
      </c>
      <c r="G183">
        <v>181.45193599999999</v>
      </c>
      <c r="H183">
        <v>2000</v>
      </c>
      <c r="I183">
        <v>1</v>
      </c>
    </row>
    <row r="184" spans="1:9" ht="14.25" customHeight="1" x14ac:dyDescent="0.3">
      <c r="A184" t="s">
        <v>207</v>
      </c>
      <c r="B184" t="s">
        <v>338</v>
      </c>
      <c r="C184" t="s">
        <v>229</v>
      </c>
      <c r="D184" t="s">
        <v>310</v>
      </c>
      <c r="E184" t="s">
        <v>12</v>
      </c>
      <c r="F184">
        <f t="shared" ref="F184:F247" si="2">1000*G184</f>
        <v>76858.11</v>
      </c>
      <c r="G184">
        <v>76.858109999999996</v>
      </c>
      <c r="H184">
        <v>2000</v>
      </c>
      <c r="I184">
        <v>1</v>
      </c>
    </row>
    <row r="185" spans="1:9" ht="14.25" customHeight="1" x14ac:dyDescent="0.3">
      <c r="A185" t="s">
        <v>207</v>
      </c>
      <c r="B185" t="s">
        <v>339</v>
      </c>
      <c r="C185" t="s">
        <v>219</v>
      </c>
      <c r="D185" t="s">
        <v>340</v>
      </c>
      <c r="E185" t="s">
        <v>12</v>
      </c>
      <c r="F185">
        <f t="shared" si="2"/>
        <v>102021.59299999999</v>
      </c>
      <c r="G185">
        <v>102.021593</v>
      </c>
      <c r="H185">
        <v>2000</v>
      </c>
      <c r="I185">
        <v>1</v>
      </c>
    </row>
    <row r="186" spans="1:9" ht="14.25" customHeight="1" x14ac:dyDescent="0.3">
      <c r="A186" t="s">
        <v>207</v>
      </c>
      <c r="B186" t="s">
        <v>341</v>
      </c>
      <c r="C186" t="s">
        <v>342</v>
      </c>
      <c r="D186" t="s">
        <v>343</v>
      </c>
      <c r="E186" t="s">
        <v>12</v>
      </c>
      <c r="F186">
        <f t="shared" si="2"/>
        <v>185754.842</v>
      </c>
      <c r="G186">
        <v>185.754842</v>
      </c>
      <c r="H186">
        <v>2000</v>
      </c>
      <c r="I186">
        <v>1</v>
      </c>
    </row>
    <row r="187" spans="1:9" ht="14.25" customHeight="1" x14ac:dyDescent="0.3">
      <c r="A187" t="s">
        <v>207</v>
      </c>
      <c r="B187" t="s">
        <v>344</v>
      </c>
      <c r="C187" t="s">
        <v>340</v>
      </c>
      <c r="D187" t="s">
        <v>95</v>
      </c>
      <c r="E187" t="s">
        <v>12</v>
      </c>
      <c r="F187">
        <f t="shared" si="2"/>
        <v>242933.09199999998</v>
      </c>
      <c r="G187">
        <v>242.93309199999999</v>
      </c>
      <c r="H187">
        <v>2000</v>
      </c>
      <c r="I187">
        <v>1</v>
      </c>
    </row>
    <row r="188" spans="1:9" ht="14.25" customHeight="1" x14ac:dyDescent="0.3">
      <c r="A188" t="s">
        <v>207</v>
      </c>
      <c r="B188" t="s">
        <v>345</v>
      </c>
      <c r="C188" t="s">
        <v>237</v>
      </c>
      <c r="D188" t="s">
        <v>342</v>
      </c>
      <c r="E188" t="s">
        <v>12</v>
      </c>
      <c r="F188">
        <f t="shared" si="2"/>
        <v>279277.74899999995</v>
      </c>
      <c r="G188">
        <v>279.27774899999997</v>
      </c>
      <c r="H188">
        <v>2000</v>
      </c>
      <c r="I188">
        <v>1</v>
      </c>
    </row>
    <row r="189" spans="1:9" ht="14.25" customHeight="1" x14ac:dyDescent="0.3">
      <c r="A189" t="s">
        <v>207</v>
      </c>
      <c r="B189" t="s">
        <v>346</v>
      </c>
      <c r="C189" t="s">
        <v>222</v>
      </c>
      <c r="D189" t="s">
        <v>347</v>
      </c>
      <c r="E189" t="s">
        <v>12</v>
      </c>
      <c r="F189">
        <f t="shared" si="2"/>
        <v>290104.37900000002</v>
      </c>
      <c r="G189">
        <v>290.10437899999999</v>
      </c>
      <c r="H189">
        <v>2000</v>
      </c>
      <c r="I189">
        <v>1</v>
      </c>
    </row>
    <row r="190" spans="1:9" ht="14.25" customHeight="1" x14ac:dyDescent="0.3">
      <c r="A190" t="s">
        <v>207</v>
      </c>
      <c r="B190" t="s">
        <v>348</v>
      </c>
      <c r="C190" t="s">
        <v>22</v>
      </c>
      <c r="D190" t="s">
        <v>26</v>
      </c>
      <c r="E190" t="s">
        <v>12</v>
      </c>
      <c r="F190">
        <f t="shared" si="2"/>
        <v>53387.074000000001</v>
      </c>
      <c r="G190">
        <v>53.387073999999998</v>
      </c>
      <c r="H190">
        <v>2000</v>
      </c>
      <c r="I190">
        <v>1</v>
      </c>
    </row>
    <row r="191" spans="1:9" ht="14.25" customHeight="1" x14ac:dyDescent="0.3">
      <c r="A191" t="s">
        <v>207</v>
      </c>
      <c r="B191" t="s">
        <v>349</v>
      </c>
      <c r="C191" t="s">
        <v>350</v>
      </c>
      <c r="D191" t="s">
        <v>99</v>
      </c>
      <c r="E191" t="s">
        <v>12</v>
      </c>
      <c r="F191">
        <f t="shared" si="2"/>
        <v>15758.959000000001</v>
      </c>
      <c r="G191">
        <v>15.758959000000001</v>
      </c>
      <c r="H191">
        <v>2000</v>
      </c>
      <c r="I191">
        <v>1</v>
      </c>
    </row>
    <row r="192" spans="1:9" ht="14.25" customHeight="1" x14ac:dyDescent="0.3">
      <c r="A192" t="s">
        <v>207</v>
      </c>
      <c r="B192" t="s">
        <v>102</v>
      </c>
      <c r="C192" t="s">
        <v>350</v>
      </c>
      <c r="D192" t="s">
        <v>103</v>
      </c>
      <c r="E192" t="s">
        <v>12</v>
      </c>
      <c r="F192">
        <f t="shared" si="2"/>
        <v>31209.179</v>
      </c>
      <c r="G192">
        <v>31.209178999999999</v>
      </c>
      <c r="H192">
        <v>2000</v>
      </c>
      <c r="I192">
        <v>1</v>
      </c>
    </row>
    <row r="193" spans="1:9" ht="14.25" customHeight="1" x14ac:dyDescent="0.3">
      <c r="A193" t="s">
        <v>207</v>
      </c>
      <c r="B193" t="s">
        <v>351</v>
      </c>
      <c r="C193" t="s">
        <v>281</v>
      </c>
      <c r="D193" t="s">
        <v>334</v>
      </c>
      <c r="E193" t="s">
        <v>12</v>
      </c>
      <c r="F193">
        <f t="shared" si="2"/>
        <v>260083.891</v>
      </c>
      <c r="G193">
        <v>260.08389099999999</v>
      </c>
      <c r="H193">
        <v>2000</v>
      </c>
      <c r="I193">
        <v>1</v>
      </c>
    </row>
    <row r="194" spans="1:9" ht="14.25" customHeight="1" x14ac:dyDescent="0.3">
      <c r="A194" t="s">
        <v>352</v>
      </c>
      <c r="B194" t="s">
        <v>353</v>
      </c>
      <c r="C194" t="s">
        <v>354</v>
      </c>
      <c r="D194" t="s">
        <v>355</v>
      </c>
      <c r="E194" t="s">
        <v>12</v>
      </c>
      <c r="F194">
        <f t="shared" si="2"/>
        <v>244.51300000000001</v>
      </c>
      <c r="G194">
        <v>0.24451300000000001</v>
      </c>
      <c r="H194">
        <v>2000</v>
      </c>
      <c r="I194">
        <v>1</v>
      </c>
    </row>
    <row r="195" spans="1:9" ht="14.25" customHeight="1" x14ac:dyDescent="0.3">
      <c r="A195" t="s">
        <v>352</v>
      </c>
      <c r="B195" t="s">
        <v>356</v>
      </c>
      <c r="C195" t="s">
        <v>357</v>
      </c>
      <c r="D195" t="s">
        <v>358</v>
      </c>
      <c r="E195" t="s">
        <v>12</v>
      </c>
      <c r="F195">
        <f t="shared" si="2"/>
        <v>1166.1390000000001</v>
      </c>
      <c r="G195">
        <v>1.166139</v>
      </c>
      <c r="H195">
        <v>2000</v>
      </c>
      <c r="I195">
        <v>1</v>
      </c>
    </row>
    <row r="196" spans="1:9" ht="14.25" customHeight="1" x14ac:dyDescent="0.3">
      <c r="A196" t="s">
        <v>352</v>
      </c>
      <c r="B196" t="s">
        <v>359</v>
      </c>
      <c r="C196" t="s">
        <v>360</v>
      </c>
      <c r="D196" t="s">
        <v>361</v>
      </c>
      <c r="E196" t="s">
        <v>12</v>
      </c>
      <c r="F196">
        <f t="shared" si="2"/>
        <v>2122.556</v>
      </c>
      <c r="G196">
        <v>2.1225559999999999</v>
      </c>
      <c r="H196">
        <v>2000</v>
      </c>
      <c r="I196">
        <v>1</v>
      </c>
    </row>
    <row r="197" spans="1:9" ht="14.25" customHeight="1" x14ac:dyDescent="0.3">
      <c r="A197" t="s">
        <v>352</v>
      </c>
      <c r="B197" t="s">
        <v>362</v>
      </c>
      <c r="C197" t="s">
        <v>360</v>
      </c>
      <c r="D197" t="s">
        <v>363</v>
      </c>
      <c r="E197" t="s">
        <v>12</v>
      </c>
      <c r="F197">
        <f t="shared" si="2"/>
        <v>626.81200000000001</v>
      </c>
      <c r="G197">
        <v>0.62681200000000004</v>
      </c>
      <c r="H197">
        <v>2000</v>
      </c>
      <c r="I197">
        <v>1</v>
      </c>
    </row>
    <row r="198" spans="1:9" ht="14.25" customHeight="1" x14ac:dyDescent="0.3">
      <c r="A198" t="s">
        <v>352</v>
      </c>
      <c r="B198" t="s">
        <v>364</v>
      </c>
      <c r="C198" t="s">
        <v>74</v>
      </c>
      <c r="D198" t="s">
        <v>365</v>
      </c>
      <c r="E198" t="s">
        <v>12</v>
      </c>
      <c r="F198">
        <f t="shared" si="2"/>
        <v>2475.422</v>
      </c>
      <c r="G198">
        <v>2.475422</v>
      </c>
      <c r="H198">
        <v>2000</v>
      </c>
      <c r="I198">
        <v>1</v>
      </c>
    </row>
    <row r="199" spans="1:9" ht="14.25" customHeight="1" x14ac:dyDescent="0.3">
      <c r="A199" t="s">
        <v>352</v>
      </c>
      <c r="B199" t="s">
        <v>366</v>
      </c>
      <c r="C199" t="s">
        <v>367</v>
      </c>
      <c r="D199" t="s">
        <v>360</v>
      </c>
      <c r="E199" t="s">
        <v>12</v>
      </c>
      <c r="F199">
        <f t="shared" si="2"/>
        <v>1204.2489999999998</v>
      </c>
      <c r="G199">
        <v>1.2042489999999999</v>
      </c>
      <c r="H199">
        <v>2000</v>
      </c>
      <c r="I199">
        <v>1</v>
      </c>
    </row>
    <row r="200" spans="1:9" ht="14.25" customHeight="1" x14ac:dyDescent="0.3">
      <c r="A200" t="s">
        <v>352</v>
      </c>
      <c r="B200" t="s">
        <v>368</v>
      </c>
      <c r="C200" t="s">
        <v>363</v>
      </c>
      <c r="D200" t="s">
        <v>369</v>
      </c>
      <c r="E200" t="s">
        <v>12</v>
      </c>
      <c r="F200">
        <f t="shared" si="2"/>
        <v>1617.5820000000001</v>
      </c>
      <c r="G200">
        <v>1.6175820000000001</v>
      </c>
      <c r="H200">
        <v>2000</v>
      </c>
      <c r="I200">
        <v>1</v>
      </c>
    </row>
    <row r="201" spans="1:9" ht="14.25" customHeight="1" x14ac:dyDescent="0.3">
      <c r="A201" t="s">
        <v>352</v>
      </c>
      <c r="B201" t="s">
        <v>370</v>
      </c>
      <c r="C201" t="s">
        <v>58</v>
      </c>
      <c r="D201" t="s">
        <v>371</v>
      </c>
      <c r="E201" t="s">
        <v>12</v>
      </c>
      <c r="F201">
        <f t="shared" si="2"/>
        <v>2955.7310000000002</v>
      </c>
      <c r="G201">
        <v>2.9557310000000001</v>
      </c>
      <c r="H201">
        <v>2000</v>
      </c>
      <c r="I201">
        <v>1</v>
      </c>
    </row>
    <row r="202" spans="1:9" ht="14.25" customHeight="1" x14ac:dyDescent="0.3">
      <c r="A202" t="s">
        <v>352</v>
      </c>
      <c r="B202" t="s">
        <v>372</v>
      </c>
      <c r="C202" t="s">
        <v>373</v>
      </c>
      <c r="D202" t="s">
        <v>374</v>
      </c>
      <c r="E202" t="s">
        <v>12</v>
      </c>
      <c r="F202">
        <f t="shared" si="2"/>
        <v>2413.9680000000003</v>
      </c>
      <c r="G202">
        <v>2.4139680000000001</v>
      </c>
      <c r="H202">
        <v>2000</v>
      </c>
      <c r="I202">
        <v>1</v>
      </c>
    </row>
    <row r="203" spans="1:9" ht="14.25" customHeight="1" x14ac:dyDescent="0.3">
      <c r="A203" t="s">
        <v>352</v>
      </c>
      <c r="B203" t="s">
        <v>375</v>
      </c>
      <c r="C203" t="s">
        <v>376</v>
      </c>
      <c r="D203" t="s">
        <v>377</v>
      </c>
      <c r="E203" t="s">
        <v>12</v>
      </c>
      <c r="F203">
        <f t="shared" si="2"/>
        <v>6128.6189999999997</v>
      </c>
      <c r="G203">
        <v>6.1286189999999996</v>
      </c>
      <c r="H203">
        <v>2000</v>
      </c>
      <c r="I203">
        <v>1</v>
      </c>
    </row>
    <row r="204" spans="1:9" ht="14.25" customHeight="1" x14ac:dyDescent="0.3">
      <c r="A204" t="s">
        <v>352</v>
      </c>
      <c r="B204" t="s">
        <v>378</v>
      </c>
      <c r="C204" t="s">
        <v>365</v>
      </c>
      <c r="D204" t="s">
        <v>379</v>
      </c>
      <c r="E204" t="s">
        <v>12</v>
      </c>
      <c r="F204">
        <f t="shared" si="2"/>
        <v>7584.0680000000002</v>
      </c>
      <c r="G204">
        <v>7.5840680000000003</v>
      </c>
      <c r="H204">
        <v>2000</v>
      </c>
      <c r="I204">
        <v>1</v>
      </c>
    </row>
    <row r="205" spans="1:9" ht="14.25" customHeight="1" x14ac:dyDescent="0.3">
      <c r="A205" t="s">
        <v>352</v>
      </c>
      <c r="B205" t="s">
        <v>380</v>
      </c>
      <c r="C205" t="s">
        <v>381</v>
      </c>
      <c r="D205" t="s">
        <v>45</v>
      </c>
      <c r="E205" t="s">
        <v>12</v>
      </c>
      <c r="F205">
        <f t="shared" si="2"/>
        <v>3020.5769999999998</v>
      </c>
      <c r="G205">
        <v>3.0205769999999998</v>
      </c>
      <c r="H205">
        <v>2000</v>
      </c>
      <c r="I205">
        <v>1</v>
      </c>
    </row>
    <row r="206" spans="1:9" ht="14.25" customHeight="1" x14ac:dyDescent="0.3">
      <c r="A206" t="s">
        <v>352</v>
      </c>
      <c r="B206" t="s">
        <v>382</v>
      </c>
      <c r="C206" t="s">
        <v>383</v>
      </c>
      <c r="D206" t="s">
        <v>384</v>
      </c>
      <c r="E206" t="s">
        <v>12</v>
      </c>
      <c r="F206">
        <f t="shared" si="2"/>
        <v>7999.9690000000001</v>
      </c>
      <c r="G206">
        <v>7.9999690000000001</v>
      </c>
      <c r="H206">
        <v>2000</v>
      </c>
      <c r="I206">
        <v>1</v>
      </c>
    </row>
    <row r="207" spans="1:9" ht="14.25" customHeight="1" x14ac:dyDescent="0.3">
      <c r="A207" t="s">
        <v>352</v>
      </c>
      <c r="B207" t="s">
        <v>385</v>
      </c>
      <c r="C207" t="s">
        <v>369</v>
      </c>
      <c r="D207" t="s">
        <v>381</v>
      </c>
      <c r="E207" t="s">
        <v>12</v>
      </c>
      <c r="F207">
        <f t="shared" si="2"/>
        <v>4279.2329999999993</v>
      </c>
      <c r="G207">
        <v>4.2792329999999996</v>
      </c>
      <c r="H207">
        <v>2000</v>
      </c>
      <c r="I207">
        <v>1</v>
      </c>
    </row>
    <row r="208" spans="1:9" ht="14.25" customHeight="1" x14ac:dyDescent="0.3">
      <c r="A208" t="s">
        <v>352</v>
      </c>
      <c r="B208" t="s">
        <v>386</v>
      </c>
      <c r="C208" t="s">
        <v>40</v>
      </c>
      <c r="D208" t="s">
        <v>387</v>
      </c>
      <c r="E208" t="s">
        <v>12</v>
      </c>
      <c r="F208">
        <f t="shared" si="2"/>
        <v>10374.397000000001</v>
      </c>
      <c r="G208">
        <v>10.374397</v>
      </c>
      <c r="H208">
        <v>2000</v>
      </c>
      <c r="I208">
        <v>1</v>
      </c>
    </row>
    <row r="209" spans="1:9" ht="14.25" customHeight="1" x14ac:dyDescent="0.3">
      <c r="A209" t="s">
        <v>352</v>
      </c>
      <c r="B209" t="s">
        <v>388</v>
      </c>
      <c r="C209" t="s">
        <v>61</v>
      </c>
      <c r="D209" t="s">
        <v>389</v>
      </c>
      <c r="E209" t="s">
        <v>12</v>
      </c>
      <c r="F209">
        <f t="shared" si="2"/>
        <v>5212.7660000000005</v>
      </c>
      <c r="G209">
        <v>5.2127660000000002</v>
      </c>
      <c r="H209">
        <v>2000</v>
      </c>
      <c r="I209">
        <v>1</v>
      </c>
    </row>
    <row r="210" spans="1:9" ht="14.25" customHeight="1" x14ac:dyDescent="0.3">
      <c r="A210" t="s">
        <v>352</v>
      </c>
      <c r="B210" t="s">
        <v>390</v>
      </c>
      <c r="C210" t="s">
        <v>47</v>
      </c>
      <c r="D210" t="s">
        <v>391</v>
      </c>
      <c r="E210" t="s">
        <v>12</v>
      </c>
      <c r="F210">
        <f t="shared" si="2"/>
        <v>3712.0060000000003</v>
      </c>
      <c r="G210">
        <v>3.7120060000000001</v>
      </c>
      <c r="H210">
        <v>2000</v>
      </c>
      <c r="I210">
        <v>1</v>
      </c>
    </row>
    <row r="211" spans="1:9" ht="14.25" customHeight="1" x14ac:dyDescent="0.3">
      <c r="A211" t="s">
        <v>352</v>
      </c>
      <c r="B211" t="s">
        <v>392</v>
      </c>
      <c r="C211" t="s">
        <v>71</v>
      </c>
      <c r="D211" t="s">
        <v>393</v>
      </c>
      <c r="E211" t="s">
        <v>12</v>
      </c>
      <c r="F211">
        <f t="shared" si="2"/>
        <v>12470.513000000001</v>
      </c>
      <c r="G211">
        <v>12.470513</v>
      </c>
      <c r="H211">
        <v>2000</v>
      </c>
      <c r="I211">
        <v>1</v>
      </c>
    </row>
    <row r="212" spans="1:9" ht="14.25" customHeight="1" x14ac:dyDescent="0.3">
      <c r="A212" t="s">
        <v>352</v>
      </c>
      <c r="B212" t="s">
        <v>394</v>
      </c>
      <c r="C212" t="s">
        <v>42</v>
      </c>
      <c r="D212" t="s">
        <v>395</v>
      </c>
      <c r="E212" t="s">
        <v>12</v>
      </c>
      <c r="F212">
        <f t="shared" si="2"/>
        <v>10590.785</v>
      </c>
      <c r="G212">
        <v>10.590785</v>
      </c>
      <c r="H212">
        <v>2000</v>
      </c>
      <c r="I212">
        <v>1</v>
      </c>
    </row>
    <row r="213" spans="1:9" ht="14.25" customHeight="1" x14ac:dyDescent="0.3">
      <c r="A213" t="s">
        <v>352</v>
      </c>
      <c r="B213" t="s">
        <v>396</v>
      </c>
      <c r="C213" t="s">
        <v>397</v>
      </c>
      <c r="D213" t="s">
        <v>398</v>
      </c>
      <c r="E213" t="s">
        <v>12</v>
      </c>
      <c r="F213">
        <f t="shared" si="2"/>
        <v>14181.058999999999</v>
      </c>
      <c r="G213">
        <v>14.181058999999999</v>
      </c>
      <c r="H213">
        <v>2000</v>
      </c>
      <c r="I213">
        <v>1</v>
      </c>
    </row>
    <row r="214" spans="1:9" ht="14.25" customHeight="1" x14ac:dyDescent="0.3">
      <c r="A214" t="s">
        <v>352</v>
      </c>
      <c r="B214" t="s">
        <v>399</v>
      </c>
      <c r="C214" t="s">
        <v>400</v>
      </c>
      <c r="D214" t="s">
        <v>401</v>
      </c>
      <c r="E214" t="s">
        <v>12</v>
      </c>
      <c r="F214">
        <f t="shared" si="2"/>
        <v>12674.032999999999</v>
      </c>
      <c r="G214">
        <v>12.674033</v>
      </c>
      <c r="H214">
        <v>2000</v>
      </c>
      <c r="I214">
        <v>1</v>
      </c>
    </row>
    <row r="215" spans="1:9" ht="14.25" customHeight="1" x14ac:dyDescent="0.3">
      <c r="A215" t="s">
        <v>352</v>
      </c>
      <c r="B215" t="s">
        <v>402</v>
      </c>
      <c r="C215" t="s">
        <v>61</v>
      </c>
      <c r="D215" t="s">
        <v>403</v>
      </c>
      <c r="E215" t="s">
        <v>12</v>
      </c>
      <c r="F215">
        <f t="shared" si="2"/>
        <v>11699.66</v>
      </c>
      <c r="G215">
        <v>11.69966</v>
      </c>
      <c r="H215">
        <v>2000</v>
      </c>
      <c r="I215">
        <v>1</v>
      </c>
    </row>
    <row r="216" spans="1:9" ht="14.25" customHeight="1" x14ac:dyDescent="0.3">
      <c r="A216" t="s">
        <v>352</v>
      </c>
      <c r="B216" t="s">
        <v>404</v>
      </c>
      <c r="C216" t="s">
        <v>53</v>
      </c>
      <c r="D216" t="s">
        <v>383</v>
      </c>
      <c r="E216" t="s">
        <v>12</v>
      </c>
      <c r="F216">
        <f t="shared" si="2"/>
        <v>13660.278999999999</v>
      </c>
      <c r="G216">
        <v>13.660278999999999</v>
      </c>
      <c r="H216">
        <v>2000</v>
      </c>
      <c r="I216">
        <v>1</v>
      </c>
    </row>
    <row r="217" spans="1:9" ht="14.25" customHeight="1" x14ac:dyDescent="0.3">
      <c r="A217" t="s">
        <v>352</v>
      </c>
      <c r="B217" t="s">
        <v>405</v>
      </c>
      <c r="C217" t="s">
        <v>406</v>
      </c>
      <c r="D217" t="s">
        <v>357</v>
      </c>
      <c r="E217" t="s">
        <v>12</v>
      </c>
      <c r="F217">
        <f t="shared" si="2"/>
        <v>11590.298000000001</v>
      </c>
      <c r="G217">
        <v>11.590298000000001</v>
      </c>
      <c r="H217">
        <v>2000</v>
      </c>
      <c r="I217">
        <v>1</v>
      </c>
    </row>
    <row r="218" spans="1:9" ht="14.25" customHeight="1" x14ac:dyDescent="0.3">
      <c r="A218" t="s">
        <v>352</v>
      </c>
      <c r="B218" t="s">
        <v>407</v>
      </c>
      <c r="C218" t="s">
        <v>379</v>
      </c>
      <c r="D218" t="s">
        <v>71</v>
      </c>
      <c r="E218" t="s">
        <v>12</v>
      </c>
      <c r="F218">
        <f t="shared" si="2"/>
        <v>5254.058</v>
      </c>
      <c r="G218">
        <v>5.2540579999999997</v>
      </c>
      <c r="H218">
        <v>2000</v>
      </c>
      <c r="I218">
        <v>1</v>
      </c>
    </row>
    <row r="219" spans="1:9" ht="14.25" customHeight="1" x14ac:dyDescent="0.3">
      <c r="A219" t="s">
        <v>352</v>
      </c>
      <c r="B219" t="s">
        <v>408</v>
      </c>
      <c r="C219" t="s">
        <v>409</v>
      </c>
      <c r="D219" t="s">
        <v>35</v>
      </c>
      <c r="E219" t="s">
        <v>12</v>
      </c>
      <c r="F219">
        <f t="shared" si="2"/>
        <v>16929.721000000001</v>
      </c>
      <c r="G219">
        <v>16.929721000000001</v>
      </c>
      <c r="H219">
        <v>2000</v>
      </c>
      <c r="I219">
        <v>1</v>
      </c>
    </row>
    <row r="220" spans="1:9" ht="14.25" customHeight="1" x14ac:dyDescent="0.3">
      <c r="A220" t="s">
        <v>352</v>
      </c>
      <c r="B220" t="s">
        <v>410</v>
      </c>
      <c r="C220" t="s">
        <v>37</v>
      </c>
      <c r="D220" t="s">
        <v>411</v>
      </c>
      <c r="E220" t="s">
        <v>12</v>
      </c>
      <c r="F220">
        <f t="shared" si="2"/>
        <v>4120.4029999999993</v>
      </c>
      <c r="G220">
        <v>4.1204029999999996</v>
      </c>
      <c r="H220">
        <v>2000</v>
      </c>
      <c r="I220">
        <v>1</v>
      </c>
    </row>
    <row r="221" spans="1:9" ht="14.25" customHeight="1" x14ac:dyDescent="0.3">
      <c r="A221" t="s">
        <v>352</v>
      </c>
      <c r="B221" t="s">
        <v>412</v>
      </c>
      <c r="C221" t="s">
        <v>413</v>
      </c>
      <c r="D221" t="s">
        <v>53</v>
      </c>
      <c r="E221" t="s">
        <v>12</v>
      </c>
      <c r="F221">
        <f t="shared" si="2"/>
        <v>3713</v>
      </c>
      <c r="G221">
        <v>3.7130000000000001</v>
      </c>
      <c r="H221">
        <v>2000</v>
      </c>
      <c r="I221">
        <v>1</v>
      </c>
    </row>
    <row r="222" spans="1:9" ht="14.25" customHeight="1" x14ac:dyDescent="0.3">
      <c r="A222" t="s">
        <v>352</v>
      </c>
      <c r="B222" t="s">
        <v>414</v>
      </c>
      <c r="C222" t="s">
        <v>49</v>
      </c>
      <c r="D222" t="s">
        <v>415</v>
      </c>
      <c r="E222" t="s">
        <v>12</v>
      </c>
      <c r="F222">
        <f t="shared" si="2"/>
        <v>10818.913</v>
      </c>
      <c r="G222">
        <v>10.818913</v>
      </c>
      <c r="H222">
        <v>2000</v>
      </c>
      <c r="I222">
        <v>1</v>
      </c>
    </row>
    <row r="223" spans="1:9" ht="14.25" customHeight="1" x14ac:dyDescent="0.3">
      <c r="A223" t="s">
        <v>352</v>
      </c>
      <c r="B223" t="s">
        <v>416</v>
      </c>
      <c r="C223" t="s">
        <v>381</v>
      </c>
      <c r="D223" t="s">
        <v>47</v>
      </c>
      <c r="E223" t="s">
        <v>12</v>
      </c>
      <c r="F223">
        <f t="shared" si="2"/>
        <v>20231.318000000003</v>
      </c>
      <c r="G223">
        <v>20.231318000000002</v>
      </c>
      <c r="H223">
        <v>2000</v>
      </c>
      <c r="I223">
        <v>1</v>
      </c>
    </row>
    <row r="224" spans="1:9" ht="14.25" customHeight="1" x14ac:dyDescent="0.3">
      <c r="A224" t="s">
        <v>352</v>
      </c>
      <c r="B224" t="s">
        <v>417</v>
      </c>
      <c r="C224" t="s">
        <v>398</v>
      </c>
      <c r="D224" t="s">
        <v>418</v>
      </c>
      <c r="E224" t="s">
        <v>12</v>
      </c>
      <c r="F224">
        <f t="shared" si="2"/>
        <v>10398.047</v>
      </c>
      <c r="G224">
        <v>10.398047</v>
      </c>
      <c r="H224">
        <v>2000</v>
      </c>
      <c r="I224">
        <v>1</v>
      </c>
    </row>
    <row r="225" spans="1:9" ht="14.25" customHeight="1" x14ac:dyDescent="0.3">
      <c r="A225" t="s">
        <v>352</v>
      </c>
      <c r="B225" t="s">
        <v>419</v>
      </c>
      <c r="C225" t="s">
        <v>367</v>
      </c>
      <c r="D225" t="s">
        <v>51</v>
      </c>
      <c r="E225" t="s">
        <v>12</v>
      </c>
      <c r="F225">
        <f t="shared" si="2"/>
        <v>17061.951000000001</v>
      </c>
      <c r="G225">
        <v>17.061951000000001</v>
      </c>
      <c r="H225">
        <v>2000</v>
      </c>
      <c r="I225">
        <v>1</v>
      </c>
    </row>
    <row r="226" spans="1:9" ht="14.25" customHeight="1" x14ac:dyDescent="0.3">
      <c r="A226" t="s">
        <v>352</v>
      </c>
      <c r="B226" t="s">
        <v>420</v>
      </c>
      <c r="C226" t="s">
        <v>371</v>
      </c>
      <c r="D226" t="s">
        <v>421</v>
      </c>
      <c r="E226" t="s">
        <v>12</v>
      </c>
      <c r="F226">
        <f t="shared" si="2"/>
        <v>16282.072</v>
      </c>
      <c r="G226">
        <v>16.282071999999999</v>
      </c>
      <c r="H226">
        <v>2000</v>
      </c>
      <c r="I226">
        <v>1</v>
      </c>
    </row>
    <row r="227" spans="1:9" ht="14.25" customHeight="1" x14ac:dyDescent="0.3">
      <c r="A227" t="s">
        <v>352</v>
      </c>
      <c r="B227" t="s">
        <v>422</v>
      </c>
      <c r="C227" t="s">
        <v>423</v>
      </c>
      <c r="D227" t="s">
        <v>424</v>
      </c>
      <c r="E227" t="s">
        <v>12</v>
      </c>
      <c r="F227">
        <f t="shared" si="2"/>
        <v>22849.481</v>
      </c>
      <c r="G227">
        <v>22.849481000000001</v>
      </c>
      <c r="H227">
        <v>2000</v>
      </c>
      <c r="I227">
        <v>1</v>
      </c>
    </row>
    <row r="228" spans="1:9" ht="14.25" customHeight="1" x14ac:dyDescent="0.3">
      <c r="A228" t="s">
        <v>352</v>
      </c>
      <c r="B228" t="s">
        <v>425</v>
      </c>
      <c r="C228" t="s">
        <v>418</v>
      </c>
      <c r="D228" t="s">
        <v>426</v>
      </c>
      <c r="E228" t="s">
        <v>12</v>
      </c>
      <c r="F228">
        <f t="shared" si="2"/>
        <v>23070.133999999998</v>
      </c>
      <c r="G228">
        <v>23.070133999999999</v>
      </c>
      <c r="H228">
        <v>2000</v>
      </c>
      <c r="I228">
        <v>1</v>
      </c>
    </row>
    <row r="229" spans="1:9" ht="14.25" customHeight="1" x14ac:dyDescent="0.3">
      <c r="A229" t="s">
        <v>352</v>
      </c>
      <c r="B229" t="s">
        <v>427</v>
      </c>
      <c r="C229" t="s">
        <v>421</v>
      </c>
      <c r="D229" t="s">
        <v>428</v>
      </c>
      <c r="E229" t="s">
        <v>12</v>
      </c>
      <c r="F229">
        <f t="shared" si="2"/>
        <v>20348.289999999997</v>
      </c>
      <c r="G229">
        <v>20.348289999999999</v>
      </c>
      <c r="H229">
        <v>2000</v>
      </c>
      <c r="I229">
        <v>1</v>
      </c>
    </row>
    <row r="230" spans="1:9" ht="14.25" customHeight="1" x14ac:dyDescent="0.3">
      <c r="A230" t="s">
        <v>352</v>
      </c>
      <c r="B230" t="s">
        <v>429</v>
      </c>
      <c r="C230" t="s">
        <v>418</v>
      </c>
      <c r="D230" t="s">
        <v>49</v>
      </c>
      <c r="E230" t="s">
        <v>12</v>
      </c>
      <c r="F230">
        <f t="shared" si="2"/>
        <v>25273.183000000001</v>
      </c>
      <c r="G230">
        <v>25.273183</v>
      </c>
      <c r="H230">
        <v>2000</v>
      </c>
      <c r="I230">
        <v>1</v>
      </c>
    </row>
    <row r="231" spans="1:9" ht="14.25" customHeight="1" x14ac:dyDescent="0.3">
      <c r="A231" t="s">
        <v>352</v>
      </c>
      <c r="B231" t="s">
        <v>430</v>
      </c>
      <c r="C231" t="s">
        <v>55</v>
      </c>
      <c r="D231" t="s">
        <v>400</v>
      </c>
      <c r="E231" t="s">
        <v>12</v>
      </c>
      <c r="F231">
        <f t="shared" si="2"/>
        <v>8939.9270000000015</v>
      </c>
      <c r="G231">
        <v>8.9399270000000008</v>
      </c>
      <c r="H231">
        <v>2000</v>
      </c>
      <c r="I231">
        <v>1</v>
      </c>
    </row>
    <row r="232" spans="1:9" ht="14.25" customHeight="1" x14ac:dyDescent="0.3">
      <c r="A232" t="s">
        <v>352</v>
      </c>
      <c r="B232" t="s">
        <v>431</v>
      </c>
      <c r="C232" t="s">
        <v>424</v>
      </c>
      <c r="D232" t="s">
        <v>61</v>
      </c>
      <c r="E232" t="s">
        <v>12</v>
      </c>
      <c r="F232">
        <f t="shared" si="2"/>
        <v>20309.16</v>
      </c>
      <c r="G232">
        <v>20.309159999999999</v>
      </c>
      <c r="H232">
        <v>2000</v>
      </c>
      <c r="I232">
        <v>1</v>
      </c>
    </row>
    <row r="233" spans="1:9" ht="14.25" customHeight="1" x14ac:dyDescent="0.3">
      <c r="A233" t="s">
        <v>352</v>
      </c>
      <c r="B233" t="s">
        <v>432</v>
      </c>
      <c r="C233" t="s">
        <v>409</v>
      </c>
      <c r="D233" t="s">
        <v>397</v>
      </c>
      <c r="E233" t="s">
        <v>12</v>
      </c>
      <c r="F233">
        <f t="shared" si="2"/>
        <v>9984.1110000000008</v>
      </c>
      <c r="G233">
        <v>9.9841110000000004</v>
      </c>
      <c r="H233">
        <v>2000</v>
      </c>
      <c r="I233">
        <v>1</v>
      </c>
    </row>
    <row r="234" spans="1:9" ht="14.25" customHeight="1" x14ac:dyDescent="0.3">
      <c r="A234" t="s">
        <v>352</v>
      </c>
      <c r="B234" t="s">
        <v>433</v>
      </c>
      <c r="C234" t="s">
        <v>415</v>
      </c>
      <c r="D234" t="s">
        <v>367</v>
      </c>
      <c r="E234" t="s">
        <v>12</v>
      </c>
      <c r="F234">
        <f t="shared" si="2"/>
        <v>22234.073</v>
      </c>
      <c r="G234">
        <v>22.234072999999999</v>
      </c>
      <c r="H234">
        <v>2000</v>
      </c>
      <c r="I234">
        <v>1</v>
      </c>
    </row>
    <row r="235" spans="1:9" ht="14.25" customHeight="1" x14ac:dyDescent="0.3">
      <c r="A235" t="s">
        <v>352</v>
      </c>
      <c r="B235" t="s">
        <v>434</v>
      </c>
      <c r="C235" t="s">
        <v>418</v>
      </c>
      <c r="D235" t="s">
        <v>435</v>
      </c>
      <c r="E235" t="s">
        <v>12</v>
      </c>
      <c r="F235">
        <f t="shared" si="2"/>
        <v>10289.163</v>
      </c>
      <c r="G235">
        <v>10.289163</v>
      </c>
      <c r="H235">
        <v>2000</v>
      </c>
      <c r="I235">
        <v>1</v>
      </c>
    </row>
    <row r="236" spans="1:9" ht="14.25" customHeight="1" x14ac:dyDescent="0.3">
      <c r="A236" t="s">
        <v>352</v>
      </c>
      <c r="B236" t="s">
        <v>436</v>
      </c>
      <c r="C236" t="s">
        <v>437</v>
      </c>
      <c r="D236" t="s">
        <v>55</v>
      </c>
      <c r="E236" t="s">
        <v>12</v>
      </c>
      <c r="F236">
        <f t="shared" si="2"/>
        <v>7572.5049999999992</v>
      </c>
      <c r="G236">
        <v>7.5725049999999996</v>
      </c>
      <c r="H236">
        <v>2000</v>
      </c>
      <c r="I236">
        <v>1</v>
      </c>
    </row>
    <row r="237" spans="1:9" ht="14.25" customHeight="1" x14ac:dyDescent="0.3">
      <c r="A237" t="s">
        <v>352</v>
      </c>
      <c r="B237" t="s">
        <v>438</v>
      </c>
      <c r="C237" t="s">
        <v>439</v>
      </c>
      <c r="D237" t="s">
        <v>440</v>
      </c>
      <c r="E237" t="s">
        <v>12</v>
      </c>
      <c r="F237">
        <f t="shared" si="2"/>
        <v>32228.161999999997</v>
      </c>
      <c r="G237">
        <v>32.228161999999998</v>
      </c>
      <c r="H237">
        <v>2000</v>
      </c>
      <c r="I237">
        <v>1</v>
      </c>
    </row>
    <row r="238" spans="1:9" ht="14.25" customHeight="1" x14ac:dyDescent="0.3">
      <c r="A238" t="s">
        <v>352</v>
      </c>
      <c r="B238" t="s">
        <v>441</v>
      </c>
      <c r="C238" t="s">
        <v>51</v>
      </c>
      <c r="D238" t="s">
        <v>442</v>
      </c>
      <c r="E238" t="s">
        <v>12</v>
      </c>
      <c r="F238">
        <f t="shared" si="2"/>
        <v>16845.983</v>
      </c>
      <c r="G238">
        <v>16.845983</v>
      </c>
      <c r="H238">
        <v>2000</v>
      </c>
      <c r="I238">
        <v>1</v>
      </c>
    </row>
    <row r="239" spans="1:9" ht="14.25" customHeight="1" x14ac:dyDescent="0.3">
      <c r="A239" t="s">
        <v>352</v>
      </c>
      <c r="B239" t="s">
        <v>443</v>
      </c>
      <c r="C239" t="s">
        <v>373</v>
      </c>
      <c r="D239" t="s">
        <v>413</v>
      </c>
      <c r="E239" t="s">
        <v>12</v>
      </c>
      <c r="F239">
        <f t="shared" si="2"/>
        <v>35151.580999999998</v>
      </c>
      <c r="G239">
        <v>35.151581</v>
      </c>
      <c r="H239">
        <v>2000</v>
      </c>
      <c r="I239">
        <v>1</v>
      </c>
    </row>
    <row r="240" spans="1:9" ht="14.25" customHeight="1" x14ac:dyDescent="0.3">
      <c r="A240" t="s">
        <v>352</v>
      </c>
      <c r="B240" t="s">
        <v>444</v>
      </c>
      <c r="C240" t="s">
        <v>411</v>
      </c>
      <c r="D240" t="s">
        <v>439</v>
      </c>
      <c r="E240" t="s">
        <v>12</v>
      </c>
      <c r="F240">
        <f t="shared" si="2"/>
        <v>10833.927</v>
      </c>
      <c r="G240">
        <v>10.833926999999999</v>
      </c>
      <c r="H240">
        <v>2000</v>
      </c>
      <c r="I240">
        <v>1</v>
      </c>
    </row>
    <row r="241" spans="1:9" ht="14.25" customHeight="1" x14ac:dyDescent="0.3">
      <c r="A241" t="s">
        <v>352</v>
      </c>
      <c r="B241" t="s">
        <v>445</v>
      </c>
      <c r="C241" t="s">
        <v>446</v>
      </c>
      <c r="D241" t="s">
        <v>423</v>
      </c>
      <c r="E241" t="s">
        <v>12</v>
      </c>
      <c r="F241">
        <f t="shared" si="2"/>
        <v>35933.850999999995</v>
      </c>
      <c r="G241">
        <v>35.933850999999997</v>
      </c>
      <c r="H241">
        <v>2000</v>
      </c>
      <c r="I241">
        <v>1</v>
      </c>
    </row>
    <row r="242" spans="1:9" ht="14.25" customHeight="1" x14ac:dyDescent="0.3">
      <c r="A242" t="s">
        <v>352</v>
      </c>
      <c r="B242" t="s">
        <v>447</v>
      </c>
      <c r="C242" t="s">
        <v>391</v>
      </c>
      <c r="D242" t="s">
        <v>373</v>
      </c>
      <c r="E242" t="s">
        <v>12</v>
      </c>
      <c r="F242">
        <f t="shared" si="2"/>
        <v>33663.864999999998</v>
      </c>
      <c r="G242">
        <v>33.663865000000001</v>
      </c>
      <c r="H242">
        <v>2000</v>
      </c>
      <c r="I242">
        <v>1</v>
      </c>
    </row>
    <row r="243" spans="1:9" ht="14.25" customHeight="1" x14ac:dyDescent="0.3">
      <c r="A243" t="s">
        <v>352</v>
      </c>
      <c r="B243" t="s">
        <v>448</v>
      </c>
      <c r="C243" t="s">
        <v>446</v>
      </c>
      <c r="D243" t="s">
        <v>58</v>
      </c>
      <c r="E243" t="s">
        <v>12</v>
      </c>
      <c r="F243">
        <f t="shared" si="2"/>
        <v>22925.156000000003</v>
      </c>
      <c r="G243">
        <v>22.925156000000001</v>
      </c>
      <c r="H243">
        <v>2000</v>
      </c>
      <c r="I243">
        <v>1</v>
      </c>
    </row>
    <row r="244" spans="1:9" ht="14.25" customHeight="1" x14ac:dyDescent="0.3">
      <c r="A244" t="s">
        <v>352</v>
      </c>
      <c r="B244" t="s">
        <v>449</v>
      </c>
      <c r="C244" t="s">
        <v>384</v>
      </c>
      <c r="D244" t="s">
        <v>446</v>
      </c>
      <c r="E244" t="s">
        <v>12</v>
      </c>
      <c r="F244">
        <f t="shared" si="2"/>
        <v>11978.591</v>
      </c>
      <c r="G244">
        <v>11.978591</v>
      </c>
      <c r="H244">
        <v>2000</v>
      </c>
      <c r="I244">
        <v>1</v>
      </c>
    </row>
    <row r="245" spans="1:9" ht="14.25" customHeight="1" x14ac:dyDescent="0.3">
      <c r="A245" t="s">
        <v>352</v>
      </c>
      <c r="B245" t="s">
        <v>450</v>
      </c>
      <c r="C245" t="s">
        <v>451</v>
      </c>
      <c r="D245" t="s">
        <v>37</v>
      </c>
      <c r="E245" t="s">
        <v>12</v>
      </c>
      <c r="F245">
        <f t="shared" si="2"/>
        <v>42623.719000000005</v>
      </c>
      <c r="G245">
        <v>42.623719000000001</v>
      </c>
      <c r="H245">
        <v>2000</v>
      </c>
      <c r="I245">
        <v>1</v>
      </c>
    </row>
    <row r="246" spans="1:9" ht="14.25" customHeight="1" x14ac:dyDescent="0.3">
      <c r="A246" t="s">
        <v>352</v>
      </c>
      <c r="B246" t="s">
        <v>452</v>
      </c>
      <c r="C246" t="s">
        <v>453</v>
      </c>
      <c r="D246" t="s">
        <v>64</v>
      </c>
      <c r="E246" t="s">
        <v>12</v>
      </c>
      <c r="F246">
        <f t="shared" si="2"/>
        <v>35993.569000000003</v>
      </c>
      <c r="G246">
        <v>35.993569000000001</v>
      </c>
      <c r="H246">
        <v>2000</v>
      </c>
      <c r="I246">
        <v>1</v>
      </c>
    </row>
    <row r="247" spans="1:9" ht="14.25" customHeight="1" x14ac:dyDescent="0.3">
      <c r="A247" t="s">
        <v>352</v>
      </c>
      <c r="B247" t="s">
        <v>454</v>
      </c>
      <c r="C247" t="s">
        <v>455</v>
      </c>
      <c r="D247" t="s">
        <v>409</v>
      </c>
      <c r="E247" t="s">
        <v>12</v>
      </c>
      <c r="F247">
        <f t="shared" si="2"/>
        <v>49526.620999999999</v>
      </c>
      <c r="G247">
        <v>49.526620999999999</v>
      </c>
      <c r="H247">
        <v>2000</v>
      </c>
      <c r="I247">
        <v>1</v>
      </c>
    </row>
    <row r="248" spans="1:9" ht="14.25" customHeight="1" x14ac:dyDescent="0.3">
      <c r="A248" t="s">
        <v>352</v>
      </c>
      <c r="B248" t="s">
        <v>456</v>
      </c>
      <c r="C248" t="s">
        <v>395</v>
      </c>
      <c r="D248" t="s">
        <v>451</v>
      </c>
      <c r="E248" t="s">
        <v>12</v>
      </c>
      <c r="F248">
        <f t="shared" ref="F248:F286" si="3">1000*G248</f>
        <v>41013.007000000005</v>
      </c>
      <c r="G248">
        <v>41.013007000000002</v>
      </c>
      <c r="H248">
        <v>2000</v>
      </c>
      <c r="I248">
        <v>1</v>
      </c>
    </row>
    <row r="249" spans="1:9" ht="14.25" customHeight="1" x14ac:dyDescent="0.3">
      <c r="A249" t="s">
        <v>352</v>
      </c>
      <c r="B249" t="s">
        <v>457</v>
      </c>
      <c r="C249" t="s">
        <v>458</v>
      </c>
      <c r="D249" t="s">
        <v>459</v>
      </c>
      <c r="E249" t="s">
        <v>12</v>
      </c>
      <c r="F249">
        <f t="shared" si="3"/>
        <v>23144.396000000001</v>
      </c>
      <c r="G249">
        <v>23.144396</v>
      </c>
      <c r="H249">
        <v>2000</v>
      </c>
      <c r="I249">
        <v>1</v>
      </c>
    </row>
    <row r="250" spans="1:9" ht="14.25" customHeight="1" x14ac:dyDescent="0.3">
      <c r="A250" t="s">
        <v>352</v>
      </c>
      <c r="B250" t="s">
        <v>460</v>
      </c>
      <c r="C250" t="s">
        <v>428</v>
      </c>
      <c r="D250" t="s">
        <v>437</v>
      </c>
      <c r="E250" t="s">
        <v>12</v>
      </c>
      <c r="F250">
        <f t="shared" si="3"/>
        <v>11746.355</v>
      </c>
      <c r="G250">
        <v>11.746354999999999</v>
      </c>
      <c r="H250">
        <v>2000</v>
      </c>
      <c r="I250">
        <v>1</v>
      </c>
    </row>
    <row r="251" spans="1:9" ht="14.25" customHeight="1" x14ac:dyDescent="0.3">
      <c r="A251" t="s">
        <v>352</v>
      </c>
      <c r="B251" t="s">
        <v>461</v>
      </c>
      <c r="C251" t="s">
        <v>64</v>
      </c>
      <c r="D251" t="s">
        <v>462</v>
      </c>
      <c r="E251" t="s">
        <v>12</v>
      </c>
      <c r="F251">
        <f t="shared" si="3"/>
        <v>14944.371999999999</v>
      </c>
      <c r="G251">
        <v>14.944372</v>
      </c>
      <c r="H251">
        <v>2000</v>
      </c>
      <c r="I251">
        <v>1</v>
      </c>
    </row>
    <row r="252" spans="1:9" ht="14.25" customHeight="1" x14ac:dyDescent="0.3">
      <c r="A252" t="s">
        <v>352</v>
      </c>
      <c r="B252" t="s">
        <v>463</v>
      </c>
      <c r="C252" t="s">
        <v>464</v>
      </c>
      <c r="D252" t="s">
        <v>465</v>
      </c>
      <c r="E252" t="s">
        <v>12</v>
      </c>
      <c r="F252">
        <f t="shared" si="3"/>
        <v>13181.480000000001</v>
      </c>
      <c r="G252">
        <v>13.181480000000001</v>
      </c>
      <c r="H252">
        <v>2000</v>
      </c>
      <c r="I252">
        <v>1</v>
      </c>
    </row>
    <row r="253" spans="1:9" ht="14.25" customHeight="1" x14ac:dyDescent="0.3">
      <c r="A253" t="s">
        <v>352</v>
      </c>
      <c r="B253" t="s">
        <v>466</v>
      </c>
      <c r="C253" t="s">
        <v>428</v>
      </c>
      <c r="D253" t="s">
        <v>69</v>
      </c>
      <c r="E253" t="s">
        <v>12</v>
      </c>
      <c r="F253">
        <f t="shared" si="3"/>
        <v>62295.714</v>
      </c>
      <c r="G253">
        <v>62.295713999999997</v>
      </c>
      <c r="H253">
        <v>2000</v>
      </c>
      <c r="I253">
        <v>1</v>
      </c>
    </row>
    <row r="254" spans="1:9" ht="14.25" customHeight="1" x14ac:dyDescent="0.3">
      <c r="A254" t="s">
        <v>352</v>
      </c>
      <c r="B254" t="s">
        <v>467</v>
      </c>
      <c r="C254" t="s">
        <v>421</v>
      </c>
      <c r="D254" t="s">
        <v>453</v>
      </c>
      <c r="E254" t="s">
        <v>12</v>
      </c>
      <c r="F254">
        <f t="shared" si="3"/>
        <v>17106.613000000001</v>
      </c>
      <c r="G254">
        <v>17.106612999999999</v>
      </c>
      <c r="H254">
        <v>2000</v>
      </c>
      <c r="I254">
        <v>1</v>
      </c>
    </row>
    <row r="255" spans="1:9" ht="14.25" customHeight="1" x14ac:dyDescent="0.3">
      <c r="A255" t="s">
        <v>352</v>
      </c>
      <c r="B255" t="s">
        <v>468</v>
      </c>
      <c r="C255" t="s">
        <v>406</v>
      </c>
      <c r="D255" t="s">
        <v>469</v>
      </c>
      <c r="E255" t="s">
        <v>12</v>
      </c>
      <c r="F255">
        <f t="shared" si="3"/>
        <v>32574.489000000001</v>
      </c>
      <c r="G255">
        <v>32.574489</v>
      </c>
      <c r="H255">
        <v>2000</v>
      </c>
      <c r="I255">
        <v>1</v>
      </c>
    </row>
    <row r="256" spans="1:9" ht="14.25" customHeight="1" x14ac:dyDescent="0.3">
      <c r="A256" t="s">
        <v>352</v>
      </c>
      <c r="B256" t="s">
        <v>470</v>
      </c>
      <c r="C256" t="s">
        <v>69</v>
      </c>
      <c r="D256" t="s">
        <v>471</v>
      </c>
      <c r="E256" t="s">
        <v>12</v>
      </c>
      <c r="F256">
        <f t="shared" si="3"/>
        <v>69549.487999999998</v>
      </c>
      <c r="G256">
        <v>69.549487999999997</v>
      </c>
      <c r="H256">
        <v>2000</v>
      </c>
      <c r="I256">
        <v>1</v>
      </c>
    </row>
    <row r="257" spans="1:9" ht="14.25" customHeight="1" x14ac:dyDescent="0.3">
      <c r="A257" t="s">
        <v>352</v>
      </c>
      <c r="B257" t="s">
        <v>472</v>
      </c>
      <c r="C257" t="s">
        <v>473</v>
      </c>
      <c r="D257" t="s">
        <v>458</v>
      </c>
      <c r="E257" t="s">
        <v>12</v>
      </c>
      <c r="F257">
        <f t="shared" si="3"/>
        <v>50923.153999999995</v>
      </c>
      <c r="G257">
        <v>50.923153999999997</v>
      </c>
      <c r="H257">
        <v>2000</v>
      </c>
      <c r="I257">
        <v>1</v>
      </c>
    </row>
    <row r="258" spans="1:9" ht="14.25" customHeight="1" x14ac:dyDescent="0.3">
      <c r="A258" t="s">
        <v>352</v>
      </c>
      <c r="B258" t="s">
        <v>474</v>
      </c>
      <c r="C258" t="s">
        <v>475</v>
      </c>
      <c r="D258" t="s">
        <v>22</v>
      </c>
      <c r="E258" t="s">
        <v>12</v>
      </c>
      <c r="F258">
        <f t="shared" si="3"/>
        <v>376515.47699999996</v>
      </c>
      <c r="G258">
        <v>376.51547699999998</v>
      </c>
      <c r="H258">
        <v>2000</v>
      </c>
      <c r="I258">
        <v>1</v>
      </c>
    </row>
    <row r="259" spans="1:9" ht="14.25" customHeight="1" x14ac:dyDescent="0.3">
      <c r="A259" t="s">
        <v>352</v>
      </c>
      <c r="B259" t="s">
        <v>476</v>
      </c>
      <c r="C259" t="s">
        <v>477</v>
      </c>
      <c r="D259" t="s">
        <v>10</v>
      </c>
      <c r="E259" t="s">
        <v>12</v>
      </c>
      <c r="F259">
        <f t="shared" si="3"/>
        <v>95025.89</v>
      </c>
      <c r="G259">
        <v>95.025890000000004</v>
      </c>
      <c r="H259">
        <v>2000</v>
      </c>
      <c r="I259">
        <v>1</v>
      </c>
    </row>
    <row r="260" spans="1:9" ht="14.25" customHeight="1" x14ac:dyDescent="0.3">
      <c r="A260" t="s">
        <v>352</v>
      </c>
      <c r="B260" t="s">
        <v>478</v>
      </c>
      <c r="C260" t="s">
        <v>479</v>
      </c>
      <c r="D260" t="s">
        <v>31</v>
      </c>
      <c r="E260" t="s">
        <v>12</v>
      </c>
      <c r="F260">
        <f t="shared" si="3"/>
        <v>37893.720999999998</v>
      </c>
      <c r="G260">
        <v>37.893720999999999</v>
      </c>
      <c r="H260">
        <v>2000</v>
      </c>
      <c r="I260">
        <v>1</v>
      </c>
    </row>
    <row r="261" spans="1:9" ht="14.25" customHeight="1" x14ac:dyDescent="0.3">
      <c r="A261" t="s">
        <v>352</v>
      </c>
      <c r="B261" t="s">
        <v>480</v>
      </c>
      <c r="C261" t="s">
        <v>469</v>
      </c>
      <c r="D261" t="s">
        <v>455</v>
      </c>
      <c r="E261" t="s">
        <v>12</v>
      </c>
      <c r="F261">
        <f t="shared" si="3"/>
        <v>74905.968999999997</v>
      </c>
      <c r="G261">
        <v>74.905968999999999</v>
      </c>
      <c r="H261">
        <v>2000</v>
      </c>
      <c r="I261">
        <v>1</v>
      </c>
    </row>
    <row r="262" spans="1:9" ht="14.25" customHeight="1" x14ac:dyDescent="0.3">
      <c r="A262" t="s">
        <v>352</v>
      </c>
      <c r="B262" t="s">
        <v>481</v>
      </c>
      <c r="C262" t="s">
        <v>473</v>
      </c>
      <c r="D262" t="s">
        <v>482</v>
      </c>
      <c r="E262" t="s">
        <v>12</v>
      </c>
      <c r="F262">
        <f t="shared" si="3"/>
        <v>73012.87999999999</v>
      </c>
      <c r="G262">
        <v>73.012879999999996</v>
      </c>
      <c r="H262">
        <v>2000</v>
      </c>
      <c r="I262">
        <v>1</v>
      </c>
    </row>
    <row r="263" spans="1:9" ht="14.25" customHeight="1" x14ac:dyDescent="0.3">
      <c r="A263" t="s">
        <v>352</v>
      </c>
      <c r="B263" t="s">
        <v>483</v>
      </c>
      <c r="C263" t="s">
        <v>484</v>
      </c>
      <c r="D263" t="s">
        <v>479</v>
      </c>
      <c r="E263" t="s">
        <v>12</v>
      </c>
      <c r="F263">
        <f t="shared" si="3"/>
        <v>37642.608999999997</v>
      </c>
      <c r="G263">
        <v>37.642609</v>
      </c>
      <c r="H263">
        <v>2000</v>
      </c>
      <c r="I263">
        <v>1</v>
      </c>
    </row>
    <row r="264" spans="1:9" ht="14.25" customHeight="1" x14ac:dyDescent="0.3">
      <c r="A264" t="s">
        <v>352</v>
      </c>
      <c r="B264" t="s">
        <v>485</v>
      </c>
      <c r="C264" t="s">
        <v>479</v>
      </c>
      <c r="D264" t="s">
        <v>486</v>
      </c>
      <c r="E264" t="s">
        <v>12</v>
      </c>
      <c r="F264">
        <f t="shared" si="3"/>
        <v>99364.481</v>
      </c>
      <c r="G264">
        <v>99.364480999999998</v>
      </c>
      <c r="H264">
        <v>2000</v>
      </c>
      <c r="I264">
        <v>1</v>
      </c>
    </row>
    <row r="265" spans="1:9" ht="14.25" customHeight="1" x14ac:dyDescent="0.3">
      <c r="A265" t="s">
        <v>352</v>
      </c>
      <c r="B265" t="s">
        <v>487</v>
      </c>
      <c r="C265" t="s">
        <v>469</v>
      </c>
      <c r="D265" t="s">
        <v>484</v>
      </c>
      <c r="E265" t="s">
        <v>12</v>
      </c>
      <c r="F265">
        <f t="shared" si="3"/>
        <v>30582.223999999998</v>
      </c>
      <c r="G265">
        <v>30.582224</v>
      </c>
      <c r="H265">
        <v>2000</v>
      </c>
      <c r="I265">
        <v>1</v>
      </c>
    </row>
    <row r="266" spans="1:9" ht="14.25" customHeight="1" x14ac:dyDescent="0.3">
      <c r="A266" t="s">
        <v>352</v>
      </c>
      <c r="B266" t="s">
        <v>488</v>
      </c>
      <c r="C266" t="s">
        <v>453</v>
      </c>
      <c r="D266" t="s">
        <v>376</v>
      </c>
      <c r="E266" t="s">
        <v>12</v>
      </c>
      <c r="F266">
        <f t="shared" si="3"/>
        <v>91339.048999999999</v>
      </c>
      <c r="G266">
        <v>91.339049000000003</v>
      </c>
      <c r="H266">
        <v>2000</v>
      </c>
      <c r="I266">
        <v>1</v>
      </c>
    </row>
    <row r="267" spans="1:9" ht="14.25" customHeight="1" x14ac:dyDescent="0.3">
      <c r="A267" t="s">
        <v>352</v>
      </c>
      <c r="B267" t="s">
        <v>489</v>
      </c>
      <c r="C267" t="s">
        <v>462</v>
      </c>
      <c r="D267" t="s">
        <v>490</v>
      </c>
      <c r="E267" t="s">
        <v>12</v>
      </c>
      <c r="F267">
        <f t="shared" si="3"/>
        <v>59642.561999999998</v>
      </c>
      <c r="G267">
        <v>59.642561999999998</v>
      </c>
      <c r="H267">
        <v>2000</v>
      </c>
      <c r="I267">
        <v>1</v>
      </c>
    </row>
    <row r="268" spans="1:9" ht="14.25" customHeight="1" x14ac:dyDescent="0.3">
      <c r="A268" t="s">
        <v>352</v>
      </c>
      <c r="B268" t="s">
        <v>491</v>
      </c>
      <c r="C268" t="s">
        <v>492</v>
      </c>
      <c r="D268" t="s">
        <v>475</v>
      </c>
      <c r="E268" t="s">
        <v>12</v>
      </c>
      <c r="F268">
        <f t="shared" si="3"/>
        <v>107488.414</v>
      </c>
      <c r="G268">
        <v>107.48841400000001</v>
      </c>
      <c r="H268">
        <v>2000</v>
      </c>
      <c r="I268">
        <v>1</v>
      </c>
    </row>
    <row r="269" spans="1:9" ht="14.25" customHeight="1" x14ac:dyDescent="0.3">
      <c r="A269" t="s">
        <v>352</v>
      </c>
      <c r="B269" t="s">
        <v>493</v>
      </c>
      <c r="C269" t="s">
        <v>71</v>
      </c>
      <c r="D269" t="s">
        <v>494</v>
      </c>
      <c r="E269" t="s">
        <v>12</v>
      </c>
      <c r="F269">
        <f t="shared" si="3"/>
        <v>105264.901</v>
      </c>
      <c r="G269">
        <v>105.26490099999999</v>
      </c>
      <c r="H269">
        <v>2000</v>
      </c>
      <c r="I269">
        <v>1</v>
      </c>
    </row>
    <row r="270" spans="1:9" ht="14.25" customHeight="1" x14ac:dyDescent="0.3">
      <c r="A270" t="s">
        <v>352</v>
      </c>
      <c r="B270" t="s">
        <v>495</v>
      </c>
      <c r="C270" t="s">
        <v>496</v>
      </c>
      <c r="D270" t="s">
        <v>28</v>
      </c>
      <c r="E270" t="s">
        <v>12</v>
      </c>
      <c r="F270">
        <f t="shared" si="3"/>
        <v>94933.418999999994</v>
      </c>
      <c r="G270">
        <v>94.933419000000001</v>
      </c>
      <c r="H270">
        <v>2000</v>
      </c>
      <c r="I270">
        <v>1</v>
      </c>
    </row>
    <row r="271" spans="1:9" ht="14.25" customHeight="1" x14ac:dyDescent="0.3">
      <c r="A271" t="s">
        <v>352</v>
      </c>
      <c r="B271" t="s">
        <v>497</v>
      </c>
      <c r="C271" t="s">
        <v>490</v>
      </c>
      <c r="D271" t="s">
        <v>77</v>
      </c>
      <c r="E271" t="s">
        <v>12</v>
      </c>
      <c r="F271">
        <f t="shared" si="3"/>
        <v>24880.870000000003</v>
      </c>
      <c r="G271">
        <v>24.880870000000002</v>
      </c>
      <c r="H271">
        <v>2000</v>
      </c>
      <c r="I271">
        <v>1</v>
      </c>
    </row>
    <row r="272" spans="1:9" ht="14.25" customHeight="1" x14ac:dyDescent="0.3">
      <c r="A272" t="s">
        <v>352</v>
      </c>
      <c r="B272" t="s">
        <v>498</v>
      </c>
      <c r="C272" t="s">
        <v>465</v>
      </c>
      <c r="D272" t="s">
        <v>354</v>
      </c>
      <c r="E272" t="s">
        <v>12</v>
      </c>
      <c r="F272">
        <f t="shared" si="3"/>
        <v>53411.031999999999</v>
      </c>
      <c r="G272">
        <v>53.411031999999999</v>
      </c>
      <c r="H272">
        <v>2000</v>
      </c>
      <c r="I272">
        <v>1</v>
      </c>
    </row>
    <row r="273" spans="1:9" ht="14.25" customHeight="1" x14ac:dyDescent="0.3">
      <c r="A273" t="s">
        <v>352</v>
      </c>
      <c r="B273" t="s">
        <v>499</v>
      </c>
      <c r="C273" t="s">
        <v>77</v>
      </c>
      <c r="D273" t="s">
        <v>492</v>
      </c>
      <c r="E273" t="s">
        <v>12</v>
      </c>
      <c r="F273">
        <f t="shared" si="3"/>
        <v>30391.183999999997</v>
      </c>
      <c r="G273">
        <v>30.391183999999999</v>
      </c>
      <c r="H273">
        <v>2000</v>
      </c>
      <c r="I273">
        <v>1</v>
      </c>
    </row>
    <row r="274" spans="1:9" ht="14.25" customHeight="1" x14ac:dyDescent="0.3">
      <c r="A274" t="s">
        <v>352</v>
      </c>
      <c r="B274" t="s">
        <v>500</v>
      </c>
      <c r="C274" t="s">
        <v>26</v>
      </c>
      <c r="D274" t="s">
        <v>501</v>
      </c>
      <c r="E274" t="s">
        <v>12</v>
      </c>
      <c r="F274">
        <f t="shared" si="3"/>
        <v>38613.036999999997</v>
      </c>
      <c r="G274">
        <v>38.613036999999998</v>
      </c>
      <c r="H274">
        <v>2000</v>
      </c>
      <c r="I274">
        <v>1</v>
      </c>
    </row>
    <row r="275" spans="1:9" ht="14.25" customHeight="1" x14ac:dyDescent="0.3">
      <c r="A275" t="s">
        <v>352</v>
      </c>
      <c r="B275" t="s">
        <v>502</v>
      </c>
      <c r="C275" t="s">
        <v>503</v>
      </c>
      <c r="D275" t="s">
        <v>464</v>
      </c>
      <c r="E275" t="s">
        <v>12</v>
      </c>
      <c r="F275">
        <f t="shared" si="3"/>
        <v>91796.536999999997</v>
      </c>
      <c r="G275">
        <v>91.796537000000001</v>
      </c>
      <c r="H275">
        <v>2000</v>
      </c>
      <c r="I275">
        <v>1</v>
      </c>
    </row>
    <row r="276" spans="1:9" ht="14.25" customHeight="1" x14ac:dyDescent="0.3">
      <c r="A276" t="s">
        <v>352</v>
      </c>
      <c r="B276" t="s">
        <v>504</v>
      </c>
      <c r="C276" t="s">
        <v>18</v>
      </c>
      <c r="D276" t="s">
        <v>505</v>
      </c>
      <c r="E276" t="s">
        <v>12</v>
      </c>
      <c r="F276">
        <f t="shared" si="3"/>
        <v>186064.23699999999</v>
      </c>
      <c r="G276">
        <v>186.06423699999999</v>
      </c>
      <c r="H276">
        <v>2000</v>
      </c>
      <c r="I276">
        <v>1</v>
      </c>
    </row>
    <row r="277" spans="1:9" ht="14.25" customHeight="1" x14ac:dyDescent="0.3">
      <c r="A277" t="s">
        <v>352</v>
      </c>
      <c r="B277" t="s">
        <v>506</v>
      </c>
      <c r="C277" t="s">
        <v>507</v>
      </c>
      <c r="D277" t="s">
        <v>508</v>
      </c>
      <c r="E277" t="s">
        <v>12</v>
      </c>
      <c r="F277">
        <f t="shared" si="3"/>
        <v>166718.61600000001</v>
      </c>
      <c r="G277">
        <v>166.718616</v>
      </c>
      <c r="H277">
        <v>2000</v>
      </c>
      <c r="I277">
        <v>1</v>
      </c>
    </row>
    <row r="278" spans="1:9" ht="14.25" customHeight="1" x14ac:dyDescent="0.3">
      <c r="A278" t="s">
        <v>352</v>
      </c>
      <c r="B278" t="s">
        <v>509</v>
      </c>
      <c r="C278" t="s">
        <v>82</v>
      </c>
      <c r="D278" t="s">
        <v>510</v>
      </c>
      <c r="E278" t="s">
        <v>12</v>
      </c>
      <c r="F278">
        <f t="shared" si="3"/>
        <v>81844.081999999995</v>
      </c>
      <c r="G278">
        <v>81.844082</v>
      </c>
      <c r="H278">
        <v>2000</v>
      </c>
      <c r="I278">
        <v>1</v>
      </c>
    </row>
    <row r="279" spans="1:9" ht="14.25" customHeight="1" x14ac:dyDescent="0.3">
      <c r="A279" t="s">
        <v>352</v>
      </c>
      <c r="B279" t="s">
        <v>511</v>
      </c>
      <c r="C279" t="s">
        <v>16</v>
      </c>
      <c r="D279" t="s">
        <v>507</v>
      </c>
      <c r="E279" t="s">
        <v>12</v>
      </c>
      <c r="F279">
        <f t="shared" si="3"/>
        <v>85036.458999999988</v>
      </c>
      <c r="G279">
        <v>85.036458999999994</v>
      </c>
      <c r="H279">
        <v>2000</v>
      </c>
      <c r="I279">
        <v>1</v>
      </c>
    </row>
    <row r="280" spans="1:9" ht="14.25" customHeight="1" x14ac:dyDescent="0.3">
      <c r="A280" t="s">
        <v>352</v>
      </c>
      <c r="B280" t="s">
        <v>512</v>
      </c>
      <c r="C280" t="s">
        <v>475</v>
      </c>
      <c r="D280" t="s">
        <v>496</v>
      </c>
      <c r="E280" t="s">
        <v>12</v>
      </c>
      <c r="F280">
        <f t="shared" si="3"/>
        <v>172357.00700000001</v>
      </c>
      <c r="G280">
        <v>172.35700700000001</v>
      </c>
      <c r="H280">
        <v>2000</v>
      </c>
      <c r="I280">
        <v>1</v>
      </c>
    </row>
    <row r="281" spans="1:9" ht="14.25" customHeight="1" x14ac:dyDescent="0.3">
      <c r="A281" t="s">
        <v>352</v>
      </c>
      <c r="B281" t="s">
        <v>513</v>
      </c>
      <c r="C281" t="s">
        <v>505</v>
      </c>
      <c r="D281" t="s">
        <v>477</v>
      </c>
      <c r="E281" t="s">
        <v>12</v>
      </c>
      <c r="F281">
        <f t="shared" si="3"/>
        <v>50083.258000000002</v>
      </c>
      <c r="G281">
        <v>50.083258000000001</v>
      </c>
      <c r="H281">
        <v>2000</v>
      </c>
      <c r="I281">
        <v>1</v>
      </c>
    </row>
    <row r="282" spans="1:9" ht="14.25" customHeight="1" x14ac:dyDescent="0.3">
      <c r="A282" t="s">
        <v>352</v>
      </c>
      <c r="B282" t="s">
        <v>514</v>
      </c>
      <c r="C282" t="s">
        <v>496</v>
      </c>
      <c r="D282" t="s">
        <v>22</v>
      </c>
      <c r="E282" t="s">
        <v>12</v>
      </c>
      <c r="F282">
        <f t="shared" si="3"/>
        <v>204200.731</v>
      </c>
      <c r="G282">
        <v>204.20073099999999</v>
      </c>
      <c r="H282">
        <v>2000</v>
      </c>
      <c r="I282">
        <v>1</v>
      </c>
    </row>
    <row r="283" spans="1:9" ht="14.25" customHeight="1" x14ac:dyDescent="0.3">
      <c r="A283" t="s">
        <v>352</v>
      </c>
      <c r="B283" t="s">
        <v>515</v>
      </c>
      <c r="C283" t="s">
        <v>26</v>
      </c>
      <c r="D283" t="s">
        <v>503</v>
      </c>
      <c r="E283" t="s">
        <v>12</v>
      </c>
      <c r="F283">
        <f t="shared" si="3"/>
        <v>315973.13900000002</v>
      </c>
      <c r="G283">
        <v>315.973139</v>
      </c>
      <c r="H283">
        <v>2000</v>
      </c>
      <c r="I283">
        <v>1</v>
      </c>
    </row>
    <row r="284" spans="1:9" ht="14.25" customHeight="1" x14ac:dyDescent="0.3">
      <c r="A284" t="s">
        <v>352</v>
      </c>
      <c r="B284" t="s">
        <v>516</v>
      </c>
      <c r="C284" t="s">
        <v>517</v>
      </c>
      <c r="D284" t="s">
        <v>33</v>
      </c>
      <c r="E284" t="s">
        <v>12</v>
      </c>
      <c r="F284">
        <f t="shared" si="3"/>
        <v>30782.73</v>
      </c>
      <c r="G284">
        <v>30.782730000000001</v>
      </c>
      <c r="H284">
        <v>2000</v>
      </c>
      <c r="I284">
        <v>1</v>
      </c>
    </row>
    <row r="285" spans="1:9" ht="14.25" customHeight="1" x14ac:dyDescent="0.3">
      <c r="A285" t="s">
        <v>352</v>
      </c>
      <c r="B285" t="s">
        <v>518</v>
      </c>
      <c r="C285" t="s">
        <v>517</v>
      </c>
      <c r="D285" t="s">
        <v>475</v>
      </c>
      <c r="E285" t="s">
        <v>12</v>
      </c>
      <c r="F285">
        <f t="shared" si="3"/>
        <v>24449.666000000001</v>
      </c>
      <c r="G285">
        <v>24.449666000000001</v>
      </c>
      <c r="H285">
        <v>2000</v>
      </c>
      <c r="I285">
        <v>1</v>
      </c>
    </row>
    <row r="286" spans="1:9" ht="14.25" customHeight="1" x14ac:dyDescent="0.3">
      <c r="A286" t="s">
        <v>352</v>
      </c>
      <c r="B286" t="s">
        <v>519</v>
      </c>
      <c r="C286" t="s">
        <v>459</v>
      </c>
      <c r="D286" t="s">
        <v>494</v>
      </c>
      <c r="E286" t="s">
        <v>12</v>
      </c>
      <c r="F286">
        <f t="shared" si="3"/>
        <v>56352.412000000004</v>
      </c>
      <c r="G286">
        <v>56.352412000000001</v>
      </c>
      <c r="H286">
        <v>2000</v>
      </c>
      <c r="I286">
        <v>1</v>
      </c>
    </row>
    <row r="287" spans="1:9" ht="14.25" customHeight="1" x14ac:dyDescent="0.3">
      <c r="A287" t="s">
        <v>520</v>
      </c>
      <c r="B287" t="s">
        <v>521</v>
      </c>
      <c r="C287" t="s">
        <v>84</v>
      </c>
      <c r="D287" t="s">
        <v>522</v>
      </c>
      <c r="E287" t="s">
        <v>523</v>
      </c>
      <c r="F287">
        <f t="shared" ref="F287:F314" si="4">G287*1000</f>
        <v>199400</v>
      </c>
      <c r="G287">
        <v>199.4</v>
      </c>
      <c r="H287">
        <v>350</v>
      </c>
      <c r="I287">
        <v>1</v>
      </c>
    </row>
    <row r="288" spans="1:9" ht="14.25" customHeight="1" x14ac:dyDescent="0.3">
      <c r="A288" t="s">
        <v>520</v>
      </c>
      <c r="B288" t="s">
        <v>524</v>
      </c>
      <c r="C288" t="s">
        <v>522</v>
      </c>
      <c r="D288" t="s">
        <v>525</v>
      </c>
      <c r="E288" t="s">
        <v>523</v>
      </c>
      <c r="F288">
        <f t="shared" si="4"/>
        <v>2900</v>
      </c>
      <c r="G288">
        <v>2.9</v>
      </c>
      <c r="H288">
        <v>350</v>
      </c>
      <c r="I288">
        <v>1</v>
      </c>
    </row>
    <row r="289" spans="1:9" ht="14.25" customHeight="1" x14ac:dyDescent="0.3">
      <c r="A289" t="s">
        <v>520</v>
      </c>
      <c r="B289" t="s">
        <v>526</v>
      </c>
      <c r="C289" t="s">
        <v>92</v>
      </c>
      <c r="D289" t="s">
        <v>527</v>
      </c>
      <c r="E289" t="s">
        <v>528</v>
      </c>
      <c r="F289">
        <f t="shared" si="4"/>
        <v>114200</v>
      </c>
      <c r="G289">
        <v>114.2</v>
      </c>
      <c r="H289">
        <v>1250</v>
      </c>
      <c r="I289">
        <v>1</v>
      </c>
    </row>
    <row r="290" spans="1:9" ht="14.25" customHeight="1" x14ac:dyDescent="0.3">
      <c r="A290" t="s">
        <v>520</v>
      </c>
      <c r="B290" t="s">
        <v>529</v>
      </c>
      <c r="C290" t="s">
        <v>527</v>
      </c>
      <c r="D290" t="s">
        <v>530</v>
      </c>
      <c r="E290" t="s">
        <v>528</v>
      </c>
      <c r="F290">
        <f t="shared" si="4"/>
        <v>36900</v>
      </c>
      <c r="G290">
        <v>36.9</v>
      </c>
      <c r="H290">
        <v>1250</v>
      </c>
      <c r="I290">
        <v>1</v>
      </c>
    </row>
    <row r="291" spans="1:9" ht="14.25" customHeight="1" x14ac:dyDescent="0.3">
      <c r="A291" t="s">
        <v>520</v>
      </c>
      <c r="B291" t="s">
        <v>531</v>
      </c>
      <c r="C291" t="s">
        <v>69</v>
      </c>
      <c r="D291" t="s">
        <v>532</v>
      </c>
      <c r="E291" t="s">
        <v>533</v>
      </c>
      <c r="F291">
        <f t="shared" si="4"/>
        <v>100</v>
      </c>
      <c r="G291">
        <v>0.1</v>
      </c>
      <c r="H291">
        <v>1200</v>
      </c>
      <c r="I291">
        <v>1</v>
      </c>
    </row>
    <row r="292" spans="1:9" ht="14.25" customHeight="1" x14ac:dyDescent="0.3">
      <c r="A292" t="s">
        <v>520</v>
      </c>
      <c r="B292" t="s">
        <v>534</v>
      </c>
      <c r="C292" t="s">
        <v>532</v>
      </c>
      <c r="D292" t="s">
        <v>535</v>
      </c>
      <c r="E292" t="s">
        <v>533</v>
      </c>
      <c r="F292">
        <f t="shared" si="4"/>
        <v>244900</v>
      </c>
      <c r="G292">
        <v>244.9</v>
      </c>
      <c r="H292">
        <v>1200</v>
      </c>
      <c r="I292">
        <v>1</v>
      </c>
    </row>
    <row r="293" spans="1:9" ht="14.25" customHeight="1" x14ac:dyDescent="0.3">
      <c r="A293" t="s">
        <v>520</v>
      </c>
      <c r="B293" t="s">
        <v>536</v>
      </c>
      <c r="C293" t="s">
        <v>55</v>
      </c>
      <c r="D293" t="s">
        <v>537</v>
      </c>
      <c r="E293" t="s">
        <v>538</v>
      </c>
      <c r="F293">
        <f t="shared" si="4"/>
        <v>57900</v>
      </c>
      <c r="G293">
        <v>57.9</v>
      </c>
      <c r="H293">
        <v>80</v>
      </c>
      <c r="I293">
        <v>1</v>
      </c>
    </row>
    <row r="294" spans="1:9" ht="14.25" customHeight="1" x14ac:dyDescent="0.3">
      <c r="A294" t="s">
        <v>520</v>
      </c>
      <c r="B294" t="s">
        <v>539</v>
      </c>
      <c r="C294" t="s">
        <v>537</v>
      </c>
      <c r="D294" t="s">
        <v>540</v>
      </c>
      <c r="E294" t="s">
        <v>538</v>
      </c>
      <c r="F294">
        <f t="shared" si="4"/>
        <v>7200</v>
      </c>
      <c r="G294">
        <v>7.2</v>
      </c>
      <c r="H294">
        <v>80</v>
      </c>
      <c r="I294">
        <v>1</v>
      </c>
    </row>
    <row r="295" spans="1:9" ht="14.25" customHeight="1" x14ac:dyDescent="0.3">
      <c r="A295" t="s">
        <v>520</v>
      </c>
      <c r="B295" t="s">
        <v>541</v>
      </c>
      <c r="C295" t="s">
        <v>53</v>
      </c>
      <c r="D295" t="s">
        <v>542</v>
      </c>
      <c r="E295" t="s">
        <v>538</v>
      </c>
      <c r="F295">
        <f t="shared" si="4"/>
        <v>37600</v>
      </c>
      <c r="G295">
        <v>37.6</v>
      </c>
      <c r="H295">
        <v>225</v>
      </c>
      <c r="I295">
        <v>1</v>
      </c>
    </row>
    <row r="296" spans="1:9" ht="14.25" customHeight="1" x14ac:dyDescent="0.3">
      <c r="A296" t="s">
        <v>520</v>
      </c>
      <c r="B296" t="s">
        <v>543</v>
      </c>
      <c r="C296" t="s">
        <v>542</v>
      </c>
      <c r="D296" t="s">
        <v>544</v>
      </c>
      <c r="E296" t="s">
        <v>538</v>
      </c>
      <c r="F296">
        <f t="shared" si="4"/>
        <v>29400</v>
      </c>
      <c r="G296">
        <v>29.4</v>
      </c>
      <c r="H296">
        <v>225</v>
      </c>
      <c r="I296">
        <v>1</v>
      </c>
    </row>
    <row r="297" spans="1:9" ht="14.25" customHeight="1" x14ac:dyDescent="0.3">
      <c r="A297" t="s">
        <v>520</v>
      </c>
      <c r="B297" t="s">
        <v>545</v>
      </c>
      <c r="C297" t="s">
        <v>58</v>
      </c>
      <c r="D297" t="s">
        <v>546</v>
      </c>
      <c r="E297" t="s">
        <v>547</v>
      </c>
      <c r="F297">
        <f t="shared" si="4"/>
        <v>100</v>
      </c>
      <c r="G297">
        <v>0.1</v>
      </c>
      <c r="H297">
        <v>2000</v>
      </c>
      <c r="I297">
        <v>1</v>
      </c>
    </row>
    <row r="298" spans="1:9" ht="14.25" customHeight="1" x14ac:dyDescent="0.3">
      <c r="A298" t="s">
        <v>520</v>
      </c>
      <c r="B298" t="s">
        <v>548</v>
      </c>
      <c r="C298" t="s">
        <v>546</v>
      </c>
      <c r="D298" t="s">
        <v>549</v>
      </c>
      <c r="E298" t="s">
        <v>547</v>
      </c>
      <c r="F298">
        <f t="shared" si="4"/>
        <v>394800</v>
      </c>
      <c r="G298">
        <v>394.8</v>
      </c>
      <c r="H298">
        <v>2000</v>
      </c>
      <c r="I298">
        <v>1</v>
      </c>
    </row>
    <row r="299" spans="1:9" ht="14.25" customHeight="1" x14ac:dyDescent="0.3">
      <c r="A299" t="s">
        <v>520</v>
      </c>
      <c r="B299" t="s">
        <v>550</v>
      </c>
      <c r="C299" t="s">
        <v>51</v>
      </c>
      <c r="D299" t="s">
        <v>551</v>
      </c>
      <c r="E299" t="s">
        <v>547</v>
      </c>
      <c r="F299">
        <f t="shared" si="4"/>
        <v>100</v>
      </c>
      <c r="G299">
        <v>0.1</v>
      </c>
      <c r="H299">
        <v>1200</v>
      </c>
      <c r="I299">
        <v>1</v>
      </c>
    </row>
    <row r="300" spans="1:9" ht="14.25" customHeight="1" x14ac:dyDescent="0.3">
      <c r="A300" t="s">
        <v>520</v>
      </c>
      <c r="B300" t="s">
        <v>552</v>
      </c>
      <c r="C300" t="s">
        <v>551</v>
      </c>
      <c r="D300" t="s">
        <v>553</v>
      </c>
      <c r="E300" t="s">
        <v>547</v>
      </c>
      <c r="F300">
        <f t="shared" si="4"/>
        <v>515900</v>
      </c>
      <c r="G300">
        <v>515.9</v>
      </c>
      <c r="H300">
        <v>1200</v>
      </c>
      <c r="I300">
        <v>1</v>
      </c>
    </row>
    <row r="301" spans="1:9" ht="14.25" customHeight="1" x14ac:dyDescent="0.3">
      <c r="A301" t="s">
        <v>520</v>
      </c>
      <c r="B301" t="s">
        <v>554</v>
      </c>
      <c r="C301" t="s">
        <v>49</v>
      </c>
      <c r="D301" t="s">
        <v>555</v>
      </c>
      <c r="E301" t="s">
        <v>12</v>
      </c>
      <c r="F301">
        <f t="shared" si="4"/>
        <v>100</v>
      </c>
      <c r="G301">
        <v>0.1</v>
      </c>
      <c r="H301">
        <v>1800</v>
      </c>
      <c r="I301">
        <v>1</v>
      </c>
    </row>
    <row r="302" spans="1:9" ht="14.25" customHeight="1" x14ac:dyDescent="0.3">
      <c r="A302" t="s">
        <v>520</v>
      </c>
      <c r="B302" t="s">
        <v>556</v>
      </c>
      <c r="C302" t="s">
        <v>555</v>
      </c>
      <c r="D302" t="s">
        <v>557</v>
      </c>
      <c r="E302" t="s">
        <v>12</v>
      </c>
      <c r="F302">
        <f t="shared" si="4"/>
        <v>87800</v>
      </c>
      <c r="G302">
        <v>87.8</v>
      </c>
      <c r="H302">
        <v>1800</v>
      </c>
      <c r="I302">
        <v>1</v>
      </c>
    </row>
    <row r="303" spans="1:9" ht="14.25" customHeight="1" x14ac:dyDescent="0.3">
      <c r="A303" t="s">
        <v>520</v>
      </c>
      <c r="B303" t="s">
        <v>558</v>
      </c>
      <c r="C303" t="s">
        <v>49</v>
      </c>
      <c r="D303" t="s">
        <v>559</v>
      </c>
      <c r="E303" t="s">
        <v>523</v>
      </c>
      <c r="F303">
        <f t="shared" si="4"/>
        <v>15500</v>
      </c>
      <c r="G303">
        <v>15.5</v>
      </c>
      <c r="H303">
        <v>800</v>
      </c>
      <c r="I303">
        <v>1</v>
      </c>
    </row>
    <row r="304" spans="1:9" ht="14.25" customHeight="1" x14ac:dyDescent="0.3">
      <c r="A304" t="s">
        <v>520</v>
      </c>
      <c r="B304" t="s">
        <v>560</v>
      </c>
      <c r="C304" t="s">
        <v>559</v>
      </c>
      <c r="D304" t="s">
        <v>561</v>
      </c>
      <c r="E304" t="s">
        <v>523</v>
      </c>
      <c r="F304">
        <f t="shared" si="4"/>
        <v>66000</v>
      </c>
      <c r="G304">
        <v>66</v>
      </c>
      <c r="H304">
        <v>800</v>
      </c>
      <c r="I304">
        <v>1</v>
      </c>
    </row>
    <row r="305" spans="1:9" ht="14.25" customHeight="1" x14ac:dyDescent="0.3">
      <c r="A305" t="s">
        <v>520</v>
      </c>
      <c r="B305" t="s">
        <v>562</v>
      </c>
      <c r="C305" t="s">
        <v>37</v>
      </c>
      <c r="D305" t="s">
        <v>563</v>
      </c>
      <c r="E305" t="s">
        <v>523</v>
      </c>
      <c r="F305">
        <f t="shared" si="4"/>
        <v>82000</v>
      </c>
      <c r="G305">
        <v>82</v>
      </c>
      <c r="H305">
        <v>1250</v>
      </c>
      <c r="I305">
        <v>1</v>
      </c>
    </row>
    <row r="306" spans="1:9" ht="14.25" customHeight="1" x14ac:dyDescent="0.3">
      <c r="A306" t="s">
        <v>520</v>
      </c>
      <c r="B306" t="s">
        <v>564</v>
      </c>
      <c r="C306" t="s">
        <v>563</v>
      </c>
      <c r="D306" t="s">
        <v>565</v>
      </c>
      <c r="E306" t="s">
        <v>523</v>
      </c>
      <c r="F306">
        <f t="shared" si="4"/>
        <v>18100</v>
      </c>
      <c r="G306">
        <v>18.100000000000001</v>
      </c>
      <c r="H306">
        <v>1250</v>
      </c>
      <c r="I306">
        <v>1</v>
      </c>
    </row>
    <row r="307" spans="1:9" ht="14.25" customHeight="1" x14ac:dyDescent="0.3">
      <c r="A307" t="s">
        <v>520</v>
      </c>
      <c r="B307" t="s">
        <v>566</v>
      </c>
      <c r="C307" t="s">
        <v>37</v>
      </c>
      <c r="D307" t="s">
        <v>567</v>
      </c>
      <c r="E307" t="s">
        <v>523</v>
      </c>
      <c r="F307">
        <f t="shared" si="4"/>
        <v>109600</v>
      </c>
      <c r="G307">
        <v>109.6</v>
      </c>
      <c r="H307">
        <v>345</v>
      </c>
      <c r="I307">
        <v>1</v>
      </c>
    </row>
    <row r="308" spans="1:9" ht="14.25" customHeight="1" x14ac:dyDescent="0.3">
      <c r="A308" t="s">
        <v>520</v>
      </c>
      <c r="B308" t="s">
        <v>568</v>
      </c>
      <c r="C308" t="s">
        <v>567</v>
      </c>
      <c r="D308" t="s">
        <v>569</v>
      </c>
      <c r="E308" t="s">
        <v>523</v>
      </c>
      <c r="F308">
        <f t="shared" si="4"/>
        <v>43900</v>
      </c>
      <c r="G308">
        <v>43.9</v>
      </c>
      <c r="H308">
        <v>345</v>
      </c>
      <c r="I308">
        <v>1</v>
      </c>
    </row>
    <row r="309" spans="1:9" ht="14.25" customHeight="1" x14ac:dyDescent="0.3">
      <c r="A309" t="s">
        <v>520</v>
      </c>
      <c r="B309" t="s">
        <v>570</v>
      </c>
      <c r="C309" t="s">
        <v>37</v>
      </c>
      <c r="D309" t="s">
        <v>571</v>
      </c>
      <c r="E309" t="s">
        <v>538</v>
      </c>
      <c r="F309">
        <f t="shared" si="4"/>
        <v>171700</v>
      </c>
      <c r="G309">
        <v>171.7</v>
      </c>
      <c r="H309">
        <v>65</v>
      </c>
      <c r="I309">
        <v>1</v>
      </c>
    </row>
    <row r="310" spans="1:9" ht="14.25" customHeight="1" x14ac:dyDescent="0.3">
      <c r="A310" t="s">
        <v>520</v>
      </c>
      <c r="B310" t="s">
        <v>572</v>
      </c>
      <c r="C310" t="s">
        <v>571</v>
      </c>
      <c r="D310" t="s">
        <v>573</v>
      </c>
      <c r="E310" t="s">
        <v>538</v>
      </c>
      <c r="F310">
        <f t="shared" si="4"/>
        <v>600</v>
      </c>
      <c r="G310">
        <v>0.6</v>
      </c>
      <c r="H310">
        <v>65</v>
      </c>
      <c r="I310">
        <v>1</v>
      </c>
    </row>
    <row r="311" spans="1:9" ht="14.25" customHeight="1" x14ac:dyDescent="0.3">
      <c r="A311" t="s">
        <v>520</v>
      </c>
      <c r="B311" t="s">
        <v>574</v>
      </c>
      <c r="C311" t="s">
        <v>31</v>
      </c>
      <c r="D311" t="s">
        <v>575</v>
      </c>
      <c r="E311" t="s">
        <v>538</v>
      </c>
      <c r="F311">
        <f t="shared" si="4"/>
        <v>326500</v>
      </c>
      <c r="G311">
        <v>326.5</v>
      </c>
      <c r="H311">
        <v>110</v>
      </c>
      <c r="I311">
        <v>1</v>
      </c>
    </row>
    <row r="312" spans="1:9" ht="14.25" customHeight="1" x14ac:dyDescent="0.3">
      <c r="A312" t="s">
        <v>520</v>
      </c>
      <c r="B312" t="s">
        <v>576</v>
      </c>
      <c r="C312" t="s">
        <v>575</v>
      </c>
      <c r="D312" t="s">
        <v>577</v>
      </c>
      <c r="E312" t="s">
        <v>538</v>
      </c>
      <c r="F312">
        <f t="shared" si="4"/>
        <v>97600</v>
      </c>
      <c r="G312">
        <v>97.6</v>
      </c>
      <c r="H312">
        <v>110</v>
      </c>
      <c r="I312">
        <v>1</v>
      </c>
    </row>
    <row r="313" spans="1:9" ht="14.25" customHeight="1" x14ac:dyDescent="0.3">
      <c r="A313" t="s">
        <v>520</v>
      </c>
      <c r="B313" t="s">
        <v>578</v>
      </c>
      <c r="C313" t="s">
        <v>31</v>
      </c>
      <c r="D313" t="s">
        <v>579</v>
      </c>
      <c r="E313" t="s">
        <v>538</v>
      </c>
      <c r="F313">
        <f t="shared" si="4"/>
        <v>334700</v>
      </c>
      <c r="G313">
        <v>334.7</v>
      </c>
      <c r="H313">
        <v>85</v>
      </c>
      <c r="I313">
        <v>1</v>
      </c>
    </row>
    <row r="314" spans="1:9" ht="14.25" customHeight="1" x14ac:dyDescent="0.3">
      <c r="A314" t="s">
        <v>520</v>
      </c>
      <c r="B314" t="s">
        <v>580</v>
      </c>
      <c r="C314" t="s">
        <v>579</v>
      </c>
      <c r="D314" t="s">
        <v>581</v>
      </c>
      <c r="E314" t="s">
        <v>538</v>
      </c>
      <c r="F314">
        <f t="shared" si="4"/>
        <v>61000</v>
      </c>
      <c r="G314">
        <v>61</v>
      </c>
      <c r="H314">
        <v>85</v>
      </c>
      <c r="I314">
        <v>1</v>
      </c>
    </row>
  </sheetData>
  <autoFilter ref="A1:I314" xr:uid="{00000000-0001-0000-0000-000000000000}"/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0F089196FAFF479225FC477ABF12C5" ma:contentTypeVersion="11" ma:contentTypeDescription="Create a new document." ma:contentTypeScope="" ma:versionID="ba1b15291e624f90e148c935b4c42544">
  <xsd:schema xmlns:xsd="http://www.w3.org/2001/XMLSchema" xmlns:xs="http://www.w3.org/2001/XMLSchema" xmlns:p="http://schemas.microsoft.com/office/2006/metadata/properties" xmlns:ns2="d062365d-eed7-4058-b1c3-9fcead89df8d" xmlns:ns3="397d8a89-1b2e-4197-9315-ae7b7fb6e2f8" targetNamespace="http://schemas.microsoft.com/office/2006/metadata/properties" ma:root="true" ma:fieldsID="c9756b6e45a84581f326c51b6b8ae35f" ns2:_="" ns3:_="">
    <xsd:import namespace="d062365d-eed7-4058-b1c3-9fcead89df8d"/>
    <xsd:import namespace="397d8a89-1b2e-4197-9315-ae7b7fb6e2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62365d-eed7-4058-b1c3-9fcead89df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0dc1520-62f7-4e18-b5e7-361edc310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7d8a89-1b2e-4197-9315-ae7b7fb6e2f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d86aa41-4c4d-45b5-a753-f06fddebf423}" ma:internalName="TaxCatchAll" ma:showField="CatchAllData" ma:web="397d8a89-1b2e-4197-9315-ae7b7fb6e2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7d8a89-1b2e-4197-9315-ae7b7fb6e2f8" xsi:nil="true"/>
    <lcf76f155ced4ddcb4097134ff3c332f xmlns="d062365d-eed7-4058-b1c3-9fcead89df8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C92F82-4CFD-41DB-A29F-3E5A201380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62365d-eed7-4058-b1c3-9fcead89df8d"/>
    <ds:schemaRef ds:uri="397d8a89-1b2e-4197-9315-ae7b7fb6e2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C3DDE6-C660-4BC8-8534-C75219E01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3AE7E9-65BA-4689-BDD8-461F0F064801}">
  <ds:schemaRefs>
    <ds:schemaRef ds:uri="http://schemas.microsoft.com/office/2006/metadata/properties"/>
    <ds:schemaRef ds:uri="http://schemas.microsoft.com/office/infopath/2007/PartnerControls"/>
    <ds:schemaRef ds:uri="397d8a89-1b2e-4197-9315-ae7b7fb6e2f8"/>
    <ds:schemaRef ds:uri="d062365d-eed7-4058-b1c3-9fcead89df8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lines_db_2026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Justin Do</dc:creator>
  <dc:description/>
  <cp:lastModifiedBy>Justin Do</cp:lastModifiedBy>
  <cp:revision>0</cp:revision>
  <dcterms:created xsi:type="dcterms:W3CDTF">2026-02-10T18:15:57Z</dcterms:created>
  <dcterms:modified xsi:type="dcterms:W3CDTF">2026-03-20T14:30:00Z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0x010100FA0F089196FAFF479225FC477ABF12C5</vt:lpwstr>
  </property>
</Properties>
</file>